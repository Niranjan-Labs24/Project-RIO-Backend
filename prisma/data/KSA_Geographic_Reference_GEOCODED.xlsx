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/>
  </bookViews>
  <sheets>
    <sheet sheetId="1" name="Geocoding Guide" state="visible" r:id="rId4"/>
    <sheet sheetId="2" name="اقرأني ReadMe" state="visible" r:id="rId5"/>
    <sheet sheetId="3" name="المناطق Regions" state="visible" r:id="rId6"/>
    <sheet sheetId="4" name="المحافظات Governorates" state="visible" r:id="rId7"/>
    <sheet sheetId="5" name="المراكز Centers" state="visible" r:id="rId8"/>
    <sheet sheetId="6" name="المراجع References" state="visible" r:id="rId9"/>
  </sheets>
  <definedNames>
    <definedName name="_xlnm._FilterDatabase">'المراكز Centers'!$A$1:$G$1405</definedName>
  </definedNames>
  <calcPr calcId="171027"/>
</workbook>
</file>

<file path=xl/sharedStrings.xml><?xml version="1.0" encoding="utf-8"?>
<sst xmlns="http://schemas.openxmlformats.org/spreadsheetml/2006/main" count="10923" uniqueCount="3401">
  <si>
    <t>Geocoding Guide — Center-level Lat/Long/Radius for RIO Geo-fencing</t>
  </si>
  <si>
    <t>Why this sheet exists</t>
  </si>
  <si>
    <t>Official lat/long/radius data  are not available for the 1,404 markaz (centers) in this workbook. No open dataset (HDX COD-AB, geoBoundaries) covers Saudi Arabia below region/admin1 level, so markaz-level coordinates have to be built rather than downloaded in one file.</t>
  </si>
  <si>
    <t>What's been added to this workbook</t>
  </si>
  <si>
    <t>- Centers sheet: Governorate (EN) and Region (EN) lookup columns, a ready-made 'Geocoding Query' string per row (Arabic center name + Arabic governorate + 'Saudi Arabia'), and empty Latitude / Longitude / Radius (m) / Geocode Status columns for the dev team's pipeline to populate.</t>
  </si>
  <si>
    <t>- Governorates sheet: same Latitude/Longitude columns added at governorate-capital level, with ONE verified example filled in (Ad-Dawadmi, highlighted yellow) to show the expected format and confirm the approach works for well-documented towns.</t>
  </si>
  <si>
    <t>Recommended pipeline (for the dev team to run — not done manually here)</t>
  </si>
  <si>
    <t>1. Batch-geocode the 'Geocoding Query' column using OpenStreetMap Nominatim (free, rate-limited to ~1 request/second, needs a valid User-Agent) or Google Maps Geocoding API (paid, higher accuracy, better Arabic handling) — either works, Google is more reliable for small/rural place names.</t>
  </si>
  <si>
    <t>2. Write the returned lat/long into columns K and L, and mark column N with 'Geocoded - high confidence', 'Geocoded - low confidence (verify)', or 'No match found'.</t>
  </si>
  <si>
    <t>3. Expect gaps: small or newly-designated markaz (KSA has added many centers/governorates in recent years) may not appear in any open gazetteer yet, or only under a different Arabic spelling. For 'No match found' rows, fall back to the parent governorate's coordinates as a placeholder until a manual check is done.</t>
  </si>
  <si>
    <t>4. Prioritize the centers that actually have active pilot organizations/villages on the RIO platform first — geocoding all 1,404 kingdom-wide is a bulk job that doesn't need to block the pilot.</t>
  </si>
  <si>
    <t>On radius</t>
  </si>
  <si>
    <t>No dataset provides an official geofence radius — it's an engineering/policy choice, not a geographic fact. Recommendation: make it configurable per center (System Admin field) rather than one fixed platform-wide number. A reasonable starting default is ~3-5 km for rural markaz (sparse roads, GPS drift) and tighter for dense urban centers — but this should be validated against real fieldwork GPS variance before it's locked in.</t>
  </si>
  <si>
    <t>Verified example</t>
  </si>
  <si>
    <t>Ad-Dawadmi (governorate capital, Riyadh region): 24.50772, 44.39237 — cross-checked against Wikipedia/GeoNames-derived sources, Aug 2026. See Governorates sheet, row for 'الدوادمى'.</t>
  </si>
  <si>
    <t>Verified examples (15 governorate-capital rows filled)</t>
  </si>
  <si>
    <t>Region-capital governorates now have verified coordinates on the Governorates sheet (highlighted yellow), cross-checked against Wikipedia/GeoNames-derived sources, Aug 2026: Riyadh 24.7136,46.6753 - Jeddah 21.54333,39.17278 - Makkah Al-Mukarramah 21.42664,39.82563 - Madinah Al-Munawwarah 24.47000,39.61000 - Buraydah 26.3260,43.9750 - Dammam 26.4330,50.1000 - Abha 18.21694,42.50528 - Tabuk 28.39722,36.57889 - Hail 27.5167,41.6833 - Arar 30.97528,41.02306 - Jazan 16.88917,42.56111 - Najran 17.49167,44.13222 - Al-Baha 20.01250,41.46528 - Sakaka 29.96972,40.20000 - plus Ad-Dawadmi 24.50772,44.39237 from the first pass.</t>
  </si>
  <si>
    <t>What this proves and what it doesn't</t>
  </si>
  <si>
    <t>These are all provincial-capital CITIES - large, well-documented places with a single unambiguous Wikipedia entry. That's the easy 14 of 150 governorates. The other ~136 governorates (smaller towns) and all 1,404 markaz/centers will have much lower hit rates through manual search - many won't have an English Wikipedia page at all, which is exactly why the batch pipeline (Nominatim/Google Geocoding API against the 'Geocoding Query' column) is still the right approach for the rest, rather than continuing one search per row.</t>
  </si>
  <si>
    <t>الدليل الجغرافي المرجعي للمملكة العربية السعودية</t>
  </si>
  <si>
    <t>KSA Geographic Reference — Regions, Governorates &amp; Centers (for GIS / map development)</t>
  </si>
  <si>
    <t>الغرض | Purpose</t>
  </si>
  <si>
    <t>ملف مرجعي موحّد للتقسيمات الإدارية الرسمية للمملكة (منطقة ← محافظة ← مركز) لاستخدامه من قبل الفريق التقني في بناء طبقات الخريطة وقاعدة البيانات الجغرافية.</t>
  </si>
  <si>
    <t>الهيكل | Structure</t>
  </si>
  <si>
    <t>3 مستويات إدارية وفق نظام المناطق (الأمر الملكي أ/92 لعام 1412هـ/1992م): 13 منطقة إدارية، 150 محافظة (شاملة أمانات عواصم المناطق)، 1,404 مركز (مراكز فئة أ وفئة ب).</t>
  </si>
  <si>
    <t>أوراق الملف | Sheets</t>
  </si>
  <si>
    <t>1) المناطق Regions: الرموز الإحصائية ورموز ISO والعواصم. 2) المحافظات Governorates: بالعربية والإنجليزية مع الفئة والرمز. 3) المراكز Centers: كل مركز مرتبطاً بمحافظته ومنطقته. 4) المراجع References: المصادر الرسمية وروابط بيانات الحدود الجغرافية (GeoJSON/Shapefiles).</t>
  </si>
  <si>
    <t>الرموز | Coding</t>
  </si>
  <si>
    <t>رمز المنطقة (1–13) وفق ترتيب الهيئة العامة للإحصاء. رمز المحافظة = رمز المنطقة + تسلسل (مثال: 0101 = الرياض/الرياض). رمز المركز = رمز المحافظة + تسلسل (0104-003). هذه الرموز داخلية للربط بين الأوراق ويمكن استبدالها بترميز المركز الوطني للسجلات (NCAR) عند الاعتماد النهائي.</t>
  </si>
  <si>
    <t>ملاحظات للفريق التقني | Notes for the tech team</t>
  </si>
  <si>
    <t>• المدن الرئيسية ليست مستوى إدارياً مستقلاً؛ فكل محافظة تُسمّى باسم مدينتها/حاضرتها، وعواصم المناطق مدرجة في ورقة المناطق. • أسماء المراكز واردة بالعربية فقط (المصدر الرسمي عربي)؛ للمطابقة الجغرافية استخدموا الاسم العربي. • للحدود المكانية (Polygons) استخدموا مصادر الحدود في ورقة المراجع (المستوى Admin1 = المناطق، Admin2 = المحافظات).</t>
  </si>
  <si>
    <t>تنبيهات دقة | Data caveats</t>
  </si>
  <si>
    <t>• عدد المحافظات يتغير بأوامر ملكية (118 ← 136 عام 2012 ← 150 حالياً)؛ أُدرجت المحافظات المستحدثة (مثل: العديد، تنومة، الحرجه، الأمواه، بحرة). • وردت "بحرة" في المصدر كمركز رغم ترقيتها محافظةً — صُحّح تصنيفها هنا. • وردت "الأمواه" في المصدر بإملاء "الا مواه". • يُنصح بمطابقة نهائية مع دليل ترميز NCAR وبوابة وزارة الداخلية قبل الإطلاق.</t>
  </si>
  <si>
    <t>آخر تحديث | Last updated</t>
  </si>
  <si>
    <t>07 يوليو 2026 — أعدّته أميرة خليل بالاستناد إلى المصادر المدرجة في ورقة المراجع.</t>
  </si>
  <si>
    <t xml:space="preserve">رمز المنطقة
Region Code</t>
  </si>
  <si>
    <t xml:space="preserve">المنطقة
Region (AR)</t>
  </si>
  <si>
    <t>Region (EN)</t>
  </si>
  <si>
    <t>رمز ISO 3166-2</t>
  </si>
  <si>
    <t xml:space="preserve">عاصمة المنطقة (مقر الإمارة)
Capital (AR)</t>
  </si>
  <si>
    <t>Capital (EN)</t>
  </si>
  <si>
    <t xml:space="preserve">عدد المحافظات
Governorates</t>
  </si>
  <si>
    <t xml:space="preserve">عدد المراكز
Centers</t>
  </si>
  <si>
    <t xml:space="preserve">إجمالي الوحدات
Total</t>
  </si>
  <si>
    <t>الرياض</t>
  </si>
  <si>
    <t>Riyadh</t>
  </si>
  <si>
    <t>SA-01</t>
  </si>
  <si>
    <t>مكة المكرمة</t>
  </si>
  <si>
    <t>Makkah Al-Mukarramah</t>
  </si>
  <si>
    <t>SA-02</t>
  </si>
  <si>
    <t>Makkah</t>
  </si>
  <si>
    <t>المدينة المنورة</t>
  </si>
  <si>
    <t>Madinah Al-Munawwarah</t>
  </si>
  <si>
    <t>SA-03</t>
  </si>
  <si>
    <t>Madinah</t>
  </si>
  <si>
    <t>القصيم</t>
  </si>
  <si>
    <t>Al-Qassim</t>
  </si>
  <si>
    <t>SA-05</t>
  </si>
  <si>
    <t>بريدة</t>
  </si>
  <si>
    <t>Buraydah</t>
  </si>
  <si>
    <t>المنطقة الشرقية</t>
  </si>
  <si>
    <t>Eastern Province</t>
  </si>
  <si>
    <t>SA-04</t>
  </si>
  <si>
    <t>الدمام</t>
  </si>
  <si>
    <t>Dammam</t>
  </si>
  <si>
    <t>عسير</t>
  </si>
  <si>
    <t>Aseer</t>
  </si>
  <si>
    <t>SA-14</t>
  </si>
  <si>
    <t>أبها</t>
  </si>
  <si>
    <t>Abha</t>
  </si>
  <si>
    <t>تبوك</t>
  </si>
  <si>
    <t>Tabuk</t>
  </si>
  <si>
    <t>SA-07</t>
  </si>
  <si>
    <t>حائل</t>
  </si>
  <si>
    <t>Hail</t>
  </si>
  <si>
    <t>SA-06</t>
  </si>
  <si>
    <t>الحدود الشمالية</t>
  </si>
  <si>
    <t>Northern Borders</t>
  </si>
  <si>
    <t>SA-08</t>
  </si>
  <si>
    <t>عرعر</t>
  </si>
  <si>
    <t>Arar</t>
  </si>
  <si>
    <t>جازان</t>
  </si>
  <si>
    <t>Jazan</t>
  </si>
  <si>
    <t>SA-09</t>
  </si>
  <si>
    <t>نجران</t>
  </si>
  <si>
    <t>Najran</t>
  </si>
  <si>
    <t>SA-10</t>
  </si>
  <si>
    <t>الباحة</t>
  </si>
  <si>
    <t>Al-Baha</t>
  </si>
  <si>
    <t>SA-11</t>
  </si>
  <si>
    <t>الجوف</t>
  </si>
  <si>
    <t>Al-Jouf</t>
  </si>
  <si>
    <t>SA-12</t>
  </si>
  <si>
    <t>سكاكا</t>
  </si>
  <si>
    <t>Sakaka</t>
  </si>
  <si>
    <t>الإجمالي Total</t>
  </si>
  <si>
    <t xml:space="preserve">رمز المحافظة
Gov Code</t>
  </si>
  <si>
    <t xml:space="preserve">المحافظة
Governorate (AR)</t>
  </si>
  <si>
    <t>Governorate (EN)</t>
  </si>
  <si>
    <t xml:space="preserve">الفئة
Category (AR)</t>
  </si>
  <si>
    <t>Category (EN)</t>
  </si>
  <si>
    <t xml:space="preserve">عدد المراكز التابعة
No. of Centers</t>
  </si>
  <si>
    <t xml:space="preserve">ملاحظات
Notes</t>
  </si>
  <si>
    <t xml:space="preserve">خط العرض (عاصمة المحافظة)
Latitude (Gov. capital)</t>
  </si>
  <si>
    <t xml:space="preserve">خط الطول (عاصمة المحافظة)
Longitude (Gov. capital)</t>
  </si>
  <si>
    <t xml:space="preserve">المصدر
Source</t>
  </si>
  <si>
    <t>0101</t>
  </si>
  <si>
    <t>أمانة (عاصمة المنطقة)</t>
  </si>
  <si>
    <t>Amanah (Region capital)</t>
  </si>
  <si>
    <t>Well-established public coordinate for Riyadh city center</t>
  </si>
  <si>
    <t>0102</t>
  </si>
  <si>
    <t>الدرعيه</t>
  </si>
  <si>
    <t>Ad-Diriyah</t>
  </si>
  <si>
    <t>فئة (أ)</t>
  </si>
  <si>
    <t>Category A</t>
  </si>
  <si>
    <t>0103</t>
  </si>
  <si>
    <t>الخرج</t>
  </si>
  <si>
    <t>Al-Kharj</t>
  </si>
  <si>
    <t>0104</t>
  </si>
  <si>
    <t>الدوادمى</t>
  </si>
  <si>
    <t>Ad-Dawadmi</t>
  </si>
  <si>
    <t>Verified via web search, Aug 2026 (Wikipedia/GeoNames-derived) - town center, not markaz boundary</t>
  </si>
  <si>
    <t>0105</t>
  </si>
  <si>
    <t>المجمعه</t>
  </si>
  <si>
    <t>Al-Majma'ah</t>
  </si>
  <si>
    <t>0106</t>
  </si>
  <si>
    <t>القويعيه</t>
  </si>
  <si>
    <t>Al-Quwayiyah</t>
  </si>
  <si>
    <t>0107</t>
  </si>
  <si>
    <t>وادى الدواسر</t>
  </si>
  <si>
    <t>Wadi Ad-Dawasir</t>
  </si>
  <si>
    <t>0108</t>
  </si>
  <si>
    <t>الافلاج</t>
  </si>
  <si>
    <t>Al-Aflaj</t>
  </si>
  <si>
    <t>0109</t>
  </si>
  <si>
    <t>الزلفى</t>
  </si>
  <si>
    <t>Az-Zulfi</t>
  </si>
  <si>
    <t>0110</t>
  </si>
  <si>
    <t>شقراء</t>
  </si>
  <si>
    <t>Shaqra</t>
  </si>
  <si>
    <t>0111</t>
  </si>
  <si>
    <t>حوطه بنى تميم</t>
  </si>
  <si>
    <t>Hotat Bani Tamim</t>
  </si>
  <si>
    <t>0112</t>
  </si>
  <si>
    <t>عفيف</t>
  </si>
  <si>
    <t>Afif</t>
  </si>
  <si>
    <t>0113</t>
  </si>
  <si>
    <t>السليل</t>
  </si>
  <si>
    <t>As-Sulayyil</t>
  </si>
  <si>
    <t>فئة (ب)</t>
  </si>
  <si>
    <t>Category B</t>
  </si>
  <si>
    <t>0114</t>
  </si>
  <si>
    <t>ضرما</t>
  </si>
  <si>
    <t>Dhurma</t>
  </si>
  <si>
    <t>0115</t>
  </si>
  <si>
    <t>المزاحميه</t>
  </si>
  <si>
    <t>Al-Muzahimiyah</t>
  </si>
  <si>
    <t>0116</t>
  </si>
  <si>
    <t>رماح</t>
  </si>
  <si>
    <t>Rumah</t>
  </si>
  <si>
    <t>0117</t>
  </si>
  <si>
    <t>ثادق</t>
  </si>
  <si>
    <t>Thadiq</t>
  </si>
  <si>
    <t>0118</t>
  </si>
  <si>
    <t>حريملاء</t>
  </si>
  <si>
    <t>Huraymila</t>
  </si>
  <si>
    <t>0119</t>
  </si>
  <si>
    <t>الحريق</t>
  </si>
  <si>
    <t>Al-Hariq</t>
  </si>
  <si>
    <t>0120</t>
  </si>
  <si>
    <t>الغاط</t>
  </si>
  <si>
    <t>Al-Ghat</t>
  </si>
  <si>
    <t>0121</t>
  </si>
  <si>
    <t>مرات</t>
  </si>
  <si>
    <t>Marat</t>
  </si>
  <si>
    <t>0122</t>
  </si>
  <si>
    <t>الدلم</t>
  </si>
  <si>
    <t>Ad-Dilam</t>
  </si>
  <si>
    <t>محافظة مستحدثة (رُقّيت من مركز)</t>
  </si>
  <si>
    <t>0123</t>
  </si>
  <si>
    <t>الرين</t>
  </si>
  <si>
    <t>Ar-Rayn</t>
  </si>
  <si>
    <t>0201</t>
  </si>
  <si>
    <t>Verified via web search, Aug 2026 (geodatos.net/Wikipedia)</t>
  </si>
  <si>
    <t>0202</t>
  </si>
  <si>
    <t>جدة</t>
  </si>
  <si>
    <t>Jeddah</t>
  </si>
  <si>
    <t>Verified via web search, Aug 2026 (Wikipedia infobox)</t>
  </si>
  <si>
    <t>0203</t>
  </si>
  <si>
    <t>الطائف</t>
  </si>
  <si>
    <t>Taif</t>
  </si>
  <si>
    <t>0204</t>
  </si>
  <si>
    <t>القنفذه</t>
  </si>
  <si>
    <t>Al-Qunfudhah</t>
  </si>
  <si>
    <t>0205</t>
  </si>
  <si>
    <t>الليث</t>
  </si>
  <si>
    <t>Al-Lith</t>
  </si>
  <si>
    <t>0206</t>
  </si>
  <si>
    <t>رابغ</t>
  </si>
  <si>
    <t>Rabigh</t>
  </si>
  <si>
    <t>0207</t>
  </si>
  <si>
    <t>الجموم</t>
  </si>
  <si>
    <t>Al-Jumum</t>
  </si>
  <si>
    <t>0208</t>
  </si>
  <si>
    <t>خليص</t>
  </si>
  <si>
    <t>Khulais</t>
  </si>
  <si>
    <t>0209</t>
  </si>
  <si>
    <t>الكامل</t>
  </si>
  <si>
    <t>Al-Kamil</t>
  </si>
  <si>
    <t>0210</t>
  </si>
  <si>
    <t>الخرمة</t>
  </si>
  <si>
    <t>Al-Khurmah</t>
  </si>
  <si>
    <t>0211</t>
  </si>
  <si>
    <t>رنيه</t>
  </si>
  <si>
    <t>Ranyah</t>
  </si>
  <si>
    <t>0212</t>
  </si>
  <si>
    <t>تربه</t>
  </si>
  <si>
    <t>Turbah</t>
  </si>
  <si>
    <t>0213</t>
  </si>
  <si>
    <t>بحرة</t>
  </si>
  <si>
    <t>Bahrah</t>
  </si>
  <si>
    <t>مستحدثة؛ وردت في المصدر كمركز وصُحّح تصنيفها محافظة</t>
  </si>
  <si>
    <t>0214</t>
  </si>
  <si>
    <t>المويه</t>
  </si>
  <si>
    <t>Al-Muwayh</t>
  </si>
  <si>
    <t>0215</t>
  </si>
  <si>
    <t>ميسان</t>
  </si>
  <si>
    <t>Maysan</t>
  </si>
  <si>
    <t>0216</t>
  </si>
  <si>
    <t>العرضيات</t>
  </si>
  <si>
    <t>Al-Ardiyat</t>
  </si>
  <si>
    <t>0217</t>
  </si>
  <si>
    <t>أضم</t>
  </si>
  <si>
    <t>Adham</t>
  </si>
  <si>
    <t>0301</t>
  </si>
  <si>
    <t>0302</t>
  </si>
  <si>
    <t>ينبع</t>
  </si>
  <si>
    <t>Yanbu</t>
  </si>
  <si>
    <t>0303</t>
  </si>
  <si>
    <t>العلا</t>
  </si>
  <si>
    <t>AlUla</t>
  </si>
  <si>
    <t>0304</t>
  </si>
  <si>
    <t>المهد</t>
  </si>
  <si>
    <t>Mahd Adh-Dhahab</t>
  </si>
  <si>
    <t>0305</t>
  </si>
  <si>
    <t>بدر</t>
  </si>
  <si>
    <t>Badr</t>
  </si>
  <si>
    <t>0306</t>
  </si>
  <si>
    <t>خيبر</t>
  </si>
  <si>
    <t>Khaybar</t>
  </si>
  <si>
    <t>0307</t>
  </si>
  <si>
    <t>الحناكيه</t>
  </si>
  <si>
    <t>Al-Hanakiyah</t>
  </si>
  <si>
    <t>0308</t>
  </si>
  <si>
    <t>وادي الفرع</t>
  </si>
  <si>
    <t>Wadi Al-Fara'</t>
  </si>
  <si>
    <t>0309</t>
  </si>
  <si>
    <t>العيص</t>
  </si>
  <si>
    <t>Al-Ais</t>
  </si>
  <si>
    <t>0401</t>
  </si>
  <si>
    <t>بريده</t>
  </si>
  <si>
    <t>Verified via web search, Aug 2026 (Wikipedia infobox, ~26.333,43.967)</t>
  </si>
  <si>
    <t>0402</t>
  </si>
  <si>
    <t>عنيزه</t>
  </si>
  <si>
    <t>Unayzah</t>
  </si>
  <si>
    <t>0403</t>
  </si>
  <si>
    <t>الرس</t>
  </si>
  <si>
    <t>Ar-Rass</t>
  </si>
  <si>
    <t>0404</t>
  </si>
  <si>
    <t>المذنب</t>
  </si>
  <si>
    <t>Al-Mithnab</t>
  </si>
  <si>
    <t>0405</t>
  </si>
  <si>
    <t>البكيريه</t>
  </si>
  <si>
    <t>Al-Bukayriyah</t>
  </si>
  <si>
    <t>0406</t>
  </si>
  <si>
    <t>البدائع</t>
  </si>
  <si>
    <t>Al-Badai</t>
  </si>
  <si>
    <t>0407</t>
  </si>
  <si>
    <t>الأسياح</t>
  </si>
  <si>
    <t>Al-Asyah</t>
  </si>
  <si>
    <t>0408</t>
  </si>
  <si>
    <t>النبهانيه</t>
  </si>
  <si>
    <t>An-Nabhaniyah</t>
  </si>
  <si>
    <t>0409</t>
  </si>
  <si>
    <t>عيون الجواء</t>
  </si>
  <si>
    <t>Uyun Al-Jiwa</t>
  </si>
  <si>
    <t>0410</t>
  </si>
  <si>
    <t>رياض الخبراء</t>
  </si>
  <si>
    <t>Riyadh Al-Khabra</t>
  </si>
  <si>
    <t>0411</t>
  </si>
  <si>
    <t>الشماسيه</t>
  </si>
  <si>
    <t>Ash-Shimasiyah</t>
  </si>
  <si>
    <t>0412</t>
  </si>
  <si>
    <t>عقلة الصقور</t>
  </si>
  <si>
    <t>Uqlat As-Suqur</t>
  </si>
  <si>
    <t>0413</t>
  </si>
  <si>
    <t>ضريه</t>
  </si>
  <si>
    <t>Dhariyah</t>
  </si>
  <si>
    <t>0501</t>
  </si>
  <si>
    <t>0502</t>
  </si>
  <si>
    <t>الاحساء</t>
  </si>
  <si>
    <t>Al-Ahsa</t>
  </si>
  <si>
    <t>0503</t>
  </si>
  <si>
    <t>حفر الباطن</t>
  </si>
  <si>
    <t>Hafr Al-Batin</t>
  </si>
  <si>
    <t>0504</t>
  </si>
  <si>
    <t>الجبيل</t>
  </si>
  <si>
    <t>Jubail</t>
  </si>
  <si>
    <t>0505</t>
  </si>
  <si>
    <t>القطيف</t>
  </si>
  <si>
    <t>Qatif</t>
  </si>
  <si>
    <t>0506</t>
  </si>
  <si>
    <t>الخبر</t>
  </si>
  <si>
    <t>Khobar</t>
  </si>
  <si>
    <t>0507</t>
  </si>
  <si>
    <t>الخفجي</t>
  </si>
  <si>
    <t>Khafji</t>
  </si>
  <si>
    <t>0508</t>
  </si>
  <si>
    <t>رأس تنوره</t>
  </si>
  <si>
    <t>Ras Tanura</t>
  </si>
  <si>
    <t>0509</t>
  </si>
  <si>
    <t>بقيق</t>
  </si>
  <si>
    <t>Buqayq (Abqaiq)</t>
  </si>
  <si>
    <t>0510</t>
  </si>
  <si>
    <t>النعيريه</t>
  </si>
  <si>
    <t>An-Nuayriyah</t>
  </si>
  <si>
    <t>0511</t>
  </si>
  <si>
    <t>قريه العليا</t>
  </si>
  <si>
    <t>Qaryat Al-Ulya</t>
  </si>
  <si>
    <t>0512</t>
  </si>
  <si>
    <t>العديد</t>
  </si>
  <si>
    <t>Al-Udayd</t>
  </si>
  <si>
    <t>محافظة مستحدثة</t>
  </si>
  <si>
    <t>0601</t>
  </si>
  <si>
    <t>ابها</t>
  </si>
  <si>
    <t>0602</t>
  </si>
  <si>
    <t>خميس مشيط</t>
  </si>
  <si>
    <t>Khamis Mushait</t>
  </si>
  <si>
    <t>0603</t>
  </si>
  <si>
    <t>بيشه</t>
  </si>
  <si>
    <t>Bishah</t>
  </si>
  <si>
    <t>0604</t>
  </si>
  <si>
    <t>النماص</t>
  </si>
  <si>
    <t>An-Namas</t>
  </si>
  <si>
    <t>0605</t>
  </si>
  <si>
    <t>محايل</t>
  </si>
  <si>
    <t>Muhayil Asir</t>
  </si>
  <si>
    <t>0606</t>
  </si>
  <si>
    <t>سراة عبيده</t>
  </si>
  <si>
    <t>Sarat Abidah</t>
  </si>
  <si>
    <t>0607</t>
  </si>
  <si>
    <t>تثليث</t>
  </si>
  <si>
    <t>Tathlith</t>
  </si>
  <si>
    <t>0608</t>
  </si>
  <si>
    <t>الأمواه</t>
  </si>
  <si>
    <t>Al-Amwah</t>
  </si>
  <si>
    <t>الاسم الصحيح: الأمواه (إملاء المصدر: الا مواه)</t>
  </si>
  <si>
    <t>0609</t>
  </si>
  <si>
    <t>رجال المع</t>
  </si>
  <si>
    <t>Rijal Almaa</t>
  </si>
  <si>
    <t>0610</t>
  </si>
  <si>
    <t>احد رفيده</t>
  </si>
  <si>
    <t>Ahad Rufaydah</t>
  </si>
  <si>
    <t>0611</t>
  </si>
  <si>
    <t>ظهران الجنوب</t>
  </si>
  <si>
    <t>Dhahran Al-Janub</t>
  </si>
  <si>
    <t>0612</t>
  </si>
  <si>
    <t>بالقرن</t>
  </si>
  <si>
    <t>Balqarn</t>
  </si>
  <si>
    <t>0613</t>
  </si>
  <si>
    <t>المجارده</t>
  </si>
  <si>
    <t>Al-Majaridah</t>
  </si>
  <si>
    <t>0614</t>
  </si>
  <si>
    <t>طريب</t>
  </si>
  <si>
    <t>Tarib</t>
  </si>
  <si>
    <t>0615</t>
  </si>
  <si>
    <t>البرك</t>
  </si>
  <si>
    <t>Al-Birk</t>
  </si>
  <si>
    <t>0616</t>
  </si>
  <si>
    <t>بارق</t>
  </si>
  <si>
    <t>Bariq</t>
  </si>
  <si>
    <t>0617</t>
  </si>
  <si>
    <t>تنومة</t>
  </si>
  <si>
    <t>Tanumah</t>
  </si>
  <si>
    <t>0618</t>
  </si>
  <si>
    <t>الحرجه</t>
  </si>
  <si>
    <t>Al-Harajah</t>
  </si>
  <si>
    <t>0701</t>
  </si>
  <si>
    <t>0702</t>
  </si>
  <si>
    <t>الوجه</t>
  </si>
  <si>
    <t>Al-Wajh</t>
  </si>
  <si>
    <t>0703</t>
  </si>
  <si>
    <t>ضباء</t>
  </si>
  <si>
    <t>Duba</t>
  </si>
  <si>
    <t>0704</t>
  </si>
  <si>
    <t>تيماء</t>
  </si>
  <si>
    <t>Tayma</t>
  </si>
  <si>
    <t>0705</t>
  </si>
  <si>
    <t>املج</t>
  </si>
  <si>
    <t>Umluj</t>
  </si>
  <si>
    <t>0706</t>
  </si>
  <si>
    <t>حقل</t>
  </si>
  <si>
    <t>Haql</t>
  </si>
  <si>
    <t>0707</t>
  </si>
  <si>
    <t>البدع</t>
  </si>
  <si>
    <t>Al-Bada'</t>
  </si>
  <si>
    <t>0801</t>
  </si>
  <si>
    <t>Verified via web search, Aug 2026 (Wikipedia/GeoNames-derived)</t>
  </si>
  <si>
    <t>0802</t>
  </si>
  <si>
    <t>بقعاء</t>
  </si>
  <si>
    <t>Baqaa</t>
  </si>
  <si>
    <t>0803</t>
  </si>
  <si>
    <t>الغزاله</t>
  </si>
  <si>
    <t>Al-Ghazalah</t>
  </si>
  <si>
    <t>0804</t>
  </si>
  <si>
    <t>الشنان</t>
  </si>
  <si>
    <t>Ash-Shinan</t>
  </si>
  <si>
    <t>0805</t>
  </si>
  <si>
    <t>الشملى</t>
  </si>
  <si>
    <t>Ash-Shamli</t>
  </si>
  <si>
    <t>0806</t>
  </si>
  <si>
    <t>موقق</t>
  </si>
  <si>
    <t>Mawqaq</t>
  </si>
  <si>
    <t>0807</t>
  </si>
  <si>
    <t>سميراء</t>
  </si>
  <si>
    <t>Sumayra</t>
  </si>
  <si>
    <t>0808</t>
  </si>
  <si>
    <t>الحائط</t>
  </si>
  <si>
    <t>Al-Hait</t>
  </si>
  <si>
    <t>0809</t>
  </si>
  <si>
    <t>السليمي</t>
  </si>
  <si>
    <t>As-Sulaymi</t>
  </si>
  <si>
    <t>0901</t>
  </si>
  <si>
    <t>0902</t>
  </si>
  <si>
    <t>رفحاء</t>
  </si>
  <si>
    <t>Rafha</t>
  </si>
  <si>
    <t>0903</t>
  </si>
  <si>
    <t>طريف</t>
  </si>
  <si>
    <t>Turaif</t>
  </si>
  <si>
    <t>0904</t>
  </si>
  <si>
    <t>العويقيله</t>
  </si>
  <si>
    <t>Al-Uwayqilah</t>
  </si>
  <si>
    <t>1001</t>
  </si>
  <si>
    <t>Verified via web search, Aug 2026 (Wikipedia infobox, "Jizan")</t>
  </si>
  <si>
    <t>1002</t>
  </si>
  <si>
    <t>صبياء</t>
  </si>
  <si>
    <t>Sabya</t>
  </si>
  <si>
    <t>1003</t>
  </si>
  <si>
    <t>ابو عريش</t>
  </si>
  <si>
    <t>Abu Arish</t>
  </si>
  <si>
    <t>1004</t>
  </si>
  <si>
    <t>صامطة</t>
  </si>
  <si>
    <t>Samtah</t>
  </si>
  <si>
    <t>1005</t>
  </si>
  <si>
    <t>الحرث</t>
  </si>
  <si>
    <t>Al-Harth</t>
  </si>
  <si>
    <t>1006</t>
  </si>
  <si>
    <t>ضمد</t>
  </si>
  <si>
    <t>Damad</t>
  </si>
  <si>
    <t>1007</t>
  </si>
  <si>
    <t>الريث</t>
  </si>
  <si>
    <t>Ar-Rayth</t>
  </si>
  <si>
    <t>1008</t>
  </si>
  <si>
    <t>بيش</t>
  </si>
  <si>
    <t>Baysh</t>
  </si>
  <si>
    <t>1009</t>
  </si>
  <si>
    <t>فرسان</t>
  </si>
  <si>
    <t>Farasan</t>
  </si>
  <si>
    <t>1010</t>
  </si>
  <si>
    <t>الدائر</t>
  </si>
  <si>
    <t>Ad-Dayer</t>
  </si>
  <si>
    <t>1011</t>
  </si>
  <si>
    <t>احد المسارحه</t>
  </si>
  <si>
    <t>Ahad Al-Masarihah</t>
  </si>
  <si>
    <t>1012</t>
  </si>
  <si>
    <t>العيدابى</t>
  </si>
  <si>
    <t>Al-Aydabi</t>
  </si>
  <si>
    <t>1013</t>
  </si>
  <si>
    <t>العارضه</t>
  </si>
  <si>
    <t>Al-Aridah</t>
  </si>
  <si>
    <t>1014</t>
  </si>
  <si>
    <t>الدرب</t>
  </si>
  <si>
    <t>Ad-Darb</t>
  </si>
  <si>
    <t>1015</t>
  </si>
  <si>
    <t>الطوال</t>
  </si>
  <si>
    <t>At-Tuwal</t>
  </si>
  <si>
    <t>1016</t>
  </si>
  <si>
    <t>هروب</t>
  </si>
  <si>
    <t>Harub</t>
  </si>
  <si>
    <t>1017</t>
  </si>
  <si>
    <t>فيفا</t>
  </si>
  <si>
    <t>Fayfa</t>
  </si>
  <si>
    <t>1101</t>
  </si>
  <si>
    <t>1102</t>
  </si>
  <si>
    <t>شروره</t>
  </si>
  <si>
    <t>Sharurah</t>
  </si>
  <si>
    <t>1103</t>
  </si>
  <si>
    <t>حبونا</t>
  </si>
  <si>
    <t>Hubuna</t>
  </si>
  <si>
    <t>1104</t>
  </si>
  <si>
    <t>بدر الجنوب</t>
  </si>
  <si>
    <t>Badr Al-Janub</t>
  </si>
  <si>
    <t>1105</t>
  </si>
  <si>
    <t>يدمه</t>
  </si>
  <si>
    <t>Yadamah</t>
  </si>
  <si>
    <t>1106</t>
  </si>
  <si>
    <t>ثار</t>
  </si>
  <si>
    <t>Thar</t>
  </si>
  <si>
    <t>1107</t>
  </si>
  <si>
    <t>خباش</t>
  </si>
  <si>
    <t>Khubash</t>
  </si>
  <si>
    <t>1201</t>
  </si>
  <si>
    <t>1202</t>
  </si>
  <si>
    <t>بلجرشي</t>
  </si>
  <si>
    <t>Baljurashi</t>
  </si>
  <si>
    <t>1203</t>
  </si>
  <si>
    <t>المندق</t>
  </si>
  <si>
    <t>Al-Mandaq</t>
  </si>
  <si>
    <t>1204</t>
  </si>
  <si>
    <t>المخواه</t>
  </si>
  <si>
    <t>Al-Makhwah</t>
  </si>
  <si>
    <t>1205</t>
  </si>
  <si>
    <t>العقيق</t>
  </si>
  <si>
    <t>Al-Aqiq</t>
  </si>
  <si>
    <t>1206</t>
  </si>
  <si>
    <t>قلوه</t>
  </si>
  <si>
    <t>Qilwah</t>
  </si>
  <si>
    <t>1207</t>
  </si>
  <si>
    <t>القرى</t>
  </si>
  <si>
    <t>Al-Qura</t>
  </si>
  <si>
    <t>1208</t>
  </si>
  <si>
    <t>بني حسن</t>
  </si>
  <si>
    <t>Bani Hasan</t>
  </si>
  <si>
    <t>1209</t>
  </si>
  <si>
    <t>فرعة غامد الزناد</t>
  </si>
  <si>
    <t>Ghamid Az-Zinad</t>
  </si>
  <si>
    <t>1210</t>
  </si>
  <si>
    <t>الحجرة</t>
  </si>
  <si>
    <t>Al-Hajrah</t>
  </si>
  <si>
    <t>1301</t>
  </si>
  <si>
    <t>1302</t>
  </si>
  <si>
    <t>القريات</t>
  </si>
  <si>
    <t>Al-Qurayyat</t>
  </si>
  <si>
    <t>1303</t>
  </si>
  <si>
    <t>دومة الجندل</t>
  </si>
  <si>
    <t>Dumat Al-Jandal</t>
  </si>
  <si>
    <t>1304</t>
  </si>
  <si>
    <t>طبرجل</t>
  </si>
  <si>
    <t>Tabarjal</t>
  </si>
  <si>
    <t xml:space="preserve">رمز المركز
Center Code</t>
  </si>
  <si>
    <t xml:space="preserve">المحافظة التابع لها
Parent Governorate (AR)</t>
  </si>
  <si>
    <t xml:space="preserve">المركز
Center (AR)</t>
  </si>
  <si>
    <t xml:space="preserve">فئة المركز
Center Category</t>
  </si>
  <si>
    <t xml:space="preserve">المحافظة
Governorate (EN)</t>
  </si>
  <si>
    <t xml:space="preserve">المنطقة
Region (EN)</t>
  </si>
  <si>
    <t xml:space="preserve">استعلام الترميز الجغرافي
Geocoding Query</t>
  </si>
  <si>
    <t xml:space="preserve">خط العرض
Latitude</t>
  </si>
  <si>
    <t xml:space="preserve">خط الطول
Longitude</t>
  </si>
  <si>
    <t xml:space="preserve">نصف القطر (متر)
Radius (m)</t>
  </si>
  <si>
    <t xml:space="preserve">حالة الترميز الجغرافي
Geocode Status</t>
  </si>
  <si>
    <t>0101-001</t>
  </si>
  <si>
    <t>عرقه</t>
  </si>
  <si>
    <t>geocoded</t>
  </si>
  <si>
    <t>0101-002</t>
  </si>
  <si>
    <t>الحائر</t>
  </si>
  <si>
    <t>0101-003</t>
  </si>
  <si>
    <t>هيت</t>
  </si>
  <si>
    <t>0101-004</t>
  </si>
  <si>
    <t>بنبان</t>
  </si>
  <si>
    <t>0101-005</t>
  </si>
  <si>
    <t>العماجية</t>
  </si>
  <si>
    <t>0101-006</t>
  </si>
  <si>
    <t>دبيان</t>
  </si>
  <si>
    <t>0102-001</t>
  </si>
  <si>
    <t>العيينة والجبيلة</t>
  </si>
  <si>
    <t>approximate (governorate centre, ±34km)</t>
  </si>
  <si>
    <t>0102-002</t>
  </si>
  <si>
    <t>العماريه</t>
  </si>
  <si>
    <t>0102-003</t>
  </si>
  <si>
    <t>بوضه</t>
  </si>
  <si>
    <t>0102-004</t>
  </si>
  <si>
    <t>سلطانة</t>
  </si>
  <si>
    <t>0102-005</t>
  </si>
  <si>
    <t>حزوى</t>
  </si>
  <si>
    <t>0102-006</t>
  </si>
  <si>
    <t>سدوس</t>
  </si>
  <si>
    <t>0103-001</t>
  </si>
  <si>
    <t>الهياثم</t>
  </si>
  <si>
    <t>0122-001</t>
  </si>
  <si>
    <t>نعجان</t>
  </si>
  <si>
    <t>0103-002</t>
  </si>
  <si>
    <t>السلميه</t>
  </si>
  <si>
    <t>0103-003</t>
  </si>
  <si>
    <t>اليمامه</t>
  </si>
  <si>
    <t>0103-004</t>
  </si>
  <si>
    <t>الوسيطاء</t>
  </si>
  <si>
    <t>approximate (governorate centre, ±104km)</t>
  </si>
  <si>
    <t>0122-002</t>
  </si>
  <si>
    <t>الضبيعه</t>
  </si>
  <si>
    <t>0122-003</t>
  </si>
  <si>
    <t>الحزم</t>
  </si>
  <si>
    <t>0103-005</t>
  </si>
  <si>
    <t>الرفيعه</t>
  </si>
  <si>
    <t>0103-006</t>
  </si>
  <si>
    <t>الرفايع</t>
  </si>
  <si>
    <t>0103-007</t>
  </si>
  <si>
    <t>سميح</t>
  </si>
  <si>
    <t>0103-008</t>
  </si>
  <si>
    <t>الناصفه</t>
  </si>
  <si>
    <t>0122-004</t>
  </si>
  <si>
    <t>العين</t>
  </si>
  <si>
    <t>0122-005</t>
  </si>
  <si>
    <t>ماوان</t>
  </si>
  <si>
    <t>0103-009</t>
  </si>
  <si>
    <t>بدع بن عرفج</t>
  </si>
  <si>
    <t>0103-010</t>
  </si>
  <si>
    <t>السهباء</t>
  </si>
  <si>
    <t>0103-011</t>
  </si>
  <si>
    <t>مقبوله</t>
  </si>
  <si>
    <t>0103-012</t>
  </si>
  <si>
    <t>0103-013</t>
  </si>
  <si>
    <t>الشديده</t>
  </si>
  <si>
    <t>0103-014</t>
  </si>
  <si>
    <t>البره</t>
  </si>
  <si>
    <t>0103-015</t>
  </si>
  <si>
    <t>التوضحيه</t>
  </si>
  <si>
    <t>0122-006</t>
  </si>
  <si>
    <t>الرغيب</t>
  </si>
  <si>
    <t>0103-016</t>
  </si>
  <si>
    <t>الفيحاء</t>
  </si>
  <si>
    <t>0103-017</t>
  </si>
  <si>
    <t>العزيزيه</t>
  </si>
  <si>
    <t>0103-018</t>
  </si>
  <si>
    <t>قور الحرشه</t>
  </si>
  <si>
    <t>0103-019</t>
  </si>
  <si>
    <t>الشمال</t>
  </si>
  <si>
    <t>0103-020</t>
  </si>
  <si>
    <t>النايفيه</t>
  </si>
  <si>
    <t>0122-007</t>
  </si>
  <si>
    <t>السلمانية</t>
  </si>
  <si>
    <t>0104-001</t>
  </si>
  <si>
    <t>ساجر</t>
  </si>
  <si>
    <t>geocoded (governorate not verifiable)</t>
  </si>
  <si>
    <t>0104-002</t>
  </si>
  <si>
    <t>نفى</t>
  </si>
  <si>
    <t>0104-003</t>
  </si>
  <si>
    <t>عروى</t>
  </si>
  <si>
    <t>0104-004</t>
  </si>
  <si>
    <t>الجمش</t>
  </si>
  <si>
    <t>0104-005</t>
  </si>
  <si>
    <t>القاعيه</t>
  </si>
  <si>
    <t>0104-006</t>
  </si>
  <si>
    <t>ماسل</t>
  </si>
  <si>
    <t>0104-007</t>
  </si>
  <si>
    <t>رفايع الجمش</t>
  </si>
  <si>
    <t>0104-008</t>
  </si>
  <si>
    <t>عرجاء</t>
  </si>
  <si>
    <t>0104-009</t>
  </si>
  <si>
    <t>الحفيره</t>
  </si>
  <si>
    <t>0104-010</t>
  </si>
  <si>
    <t>خف</t>
  </si>
  <si>
    <t>0104-011</t>
  </si>
  <si>
    <t>مصده</t>
  </si>
  <si>
    <t>0104-012</t>
  </si>
  <si>
    <t>ارطاوى حليت</t>
  </si>
  <si>
    <t>0104-013</t>
  </si>
  <si>
    <t>القراره</t>
  </si>
  <si>
    <t>0104-014</t>
  </si>
  <si>
    <t>ابو جلال</t>
  </si>
  <si>
    <t>0104-015</t>
  </si>
  <si>
    <t>كبشان</t>
  </si>
  <si>
    <t>0104-016</t>
  </si>
  <si>
    <t>عسيله</t>
  </si>
  <si>
    <t>0104-017</t>
  </si>
  <si>
    <t>شبيرمه</t>
  </si>
  <si>
    <t>0104-018</t>
  </si>
  <si>
    <t>اوضاخ</t>
  </si>
  <si>
    <t>0104-019</t>
  </si>
  <si>
    <t>منيفه جلوي</t>
  </si>
  <si>
    <t>0104-020</t>
  </si>
  <si>
    <t>الارطاوي الجديد</t>
  </si>
  <si>
    <t>approximate (governorate centre, ±151km)</t>
  </si>
  <si>
    <t>0104-021</t>
  </si>
  <si>
    <t>جهام</t>
  </si>
  <si>
    <t>0104-022</t>
  </si>
  <si>
    <t>ام سليم بالسر</t>
  </si>
  <si>
    <t>0104-023</t>
  </si>
  <si>
    <t>الدمثى</t>
  </si>
  <si>
    <t>0104-024</t>
  </si>
  <si>
    <t>البجاديه</t>
  </si>
  <si>
    <t>0104-025</t>
  </si>
  <si>
    <t>الشعراء</t>
  </si>
  <si>
    <t>0104-026</t>
  </si>
  <si>
    <t>السر</t>
  </si>
  <si>
    <t>0104-027</t>
  </si>
  <si>
    <t>الارطاوي</t>
  </si>
  <si>
    <t>0104-028</t>
  </si>
  <si>
    <t>حاضرة نفي</t>
  </si>
  <si>
    <t>0104-029</t>
  </si>
  <si>
    <t>السكران</t>
  </si>
  <si>
    <t>0104-030</t>
  </si>
  <si>
    <t>القرين</t>
  </si>
  <si>
    <t>0104-031</t>
  </si>
  <si>
    <t>البرود</t>
  </si>
  <si>
    <t>0104-032</t>
  </si>
  <si>
    <t>الاثله</t>
  </si>
  <si>
    <t>0104-033</t>
  </si>
  <si>
    <t>افقرة</t>
  </si>
  <si>
    <t>0104-034</t>
  </si>
  <si>
    <t>الرشاويه</t>
  </si>
  <si>
    <t>0104-035</t>
  </si>
  <si>
    <t>عين القنور</t>
  </si>
  <si>
    <t>0104-036</t>
  </si>
  <si>
    <t>مغيراء</t>
  </si>
  <si>
    <t>0104-037</t>
  </si>
  <si>
    <t>العقلة</t>
  </si>
  <si>
    <t>0104-038</t>
  </si>
  <si>
    <t>العبل</t>
  </si>
  <si>
    <t>0104-039</t>
  </si>
  <si>
    <t>الحيد</t>
  </si>
  <si>
    <t>0104-040</t>
  </si>
  <si>
    <t>عريفجان</t>
  </si>
  <si>
    <t>0104-041</t>
  </si>
  <si>
    <t>ارطاوى الحماميد</t>
  </si>
  <si>
    <t>0104-042</t>
  </si>
  <si>
    <t>بدائع بن نجم</t>
  </si>
  <si>
    <t>0104-043</t>
  </si>
  <si>
    <t>الفقاره</t>
  </si>
  <si>
    <t>0104-044</t>
  </si>
  <si>
    <t>الحفنه</t>
  </si>
  <si>
    <t>0104-045</t>
  </si>
  <si>
    <t>علياء</t>
  </si>
  <si>
    <t>0104-046</t>
  </si>
  <si>
    <t>الشفلحيه</t>
  </si>
  <si>
    <t>0104-047</t>
  </si>
  <si>
    <t>مشرفة نفي</t>
  </si>
  <si>
    <t>0104-048</t>
  </si>
  <si>
    <t>منيه</t>
  </si>
  <si>
    <t>0104-049</t>
  </si>
  <si>
    <t>العاذريه</t>
  </si>
  <si>
    <t>0104-050</t>
  </si>
  <si>
    <t>الخالديه</t>
  </si>
  <si>
    <t>0104-051</t>
  </si>
  <si>
    <t>خريمان</t>
  </si>
  <si>
    <t>0104-052</t>
  </si>
  <si>
    <t>عشيران</t>
  </si>
  <si>
    <t>0104-053</t>
  </si>
  <si>
    <t>المستجده</t>
  </si>
  <si>
    <t>0104-054</t>
  </si>
  <si>
    <t>المطاوي</t>
  </si>
  <si>
    <t>0104-055</t>
  </si>
  <si>
    <t>النبوان</t>
  </si>
  <si>
    <t>0104-056</t>
  </si>
  <si>
    <t>فيضه المفص</t>
  </si>
  <si>
    <t>0104-057</t>
  </si>
  <si>
    <t>الودي</t>
  </si>
  <si>
    <t>0104-058</t>
  </si>
  <si>
    <t>عريده</t>
  </si>
  <si>
    <t>0104-059</t>
  </si>
  <si>
    <t>عواضه</t>
  </si>
  <si>
    <t>0104-060</t>
  </si>
  <si>
    <t>عصام</t>
  </si>
  <si>
    <t>0104-061</t>
  </si>
  <si>
    <t>عنز</t>
  </si>
  <si>
    <t>0104-062</t>
  </si>
  <si>
    <t>ام رضمه</t>
  </si>
  <si>
    <t>0104-063</t>
  </si>
  <si>
    <t>جفناء</t>
  </si>
  <si>
    <t>0104-064</t>
  </si>
  <si>
    <t>حديجه</t>
  </si>
  <si>
    <t>0104-065</t>
  </si>
  <si>
    <t>سروره</t>
  </si>
  <si>
    <t>0104-066</t>
  </si>
  <si>
    <t>الراجحيه</t>
  </si>
  <si>
    <t>0104-067</t>
  </si>
  <si>
    <t>مغيب</t>
  </si>
  <si>
    <t>0104-068</t>
  </si>
  <si>
    <t>عين الصوينع</t>
  </si>
  <si>
    <t>0104-069</t>
  </si>
  <si>
    <t>ارطاوى الرقاص</t>
  </si>
  <si>
    <t>0104-070</t>
  </si>
  <si>
    <t>عصماء</t>
  </si>
  <si>
    <t>0104-071</t>
  </si>
  <si>
    <t>ام زموع</t>
  </si>
  <si>
    <t>0104-072</t>
  </si>
  <si>
    <t>جفن</t>
  </si>
  <si>
    <t>0104-073</t>
  </si>
  <si>
    <t>الخفيفيه</t>
  </si>
  <si>
    <t>0104-074</t>
  </si>
  <si>
    <t>أوثيلان بالسر</t>
  </si>
  <si>
    <t>0104-075</t>
  </si>
  <si>
    <t>عشيره المخامر</t>
  </si>
  <si>
    <t>0104-076</t>
  </si>
  <si>
    <t>البراحه</t>
  </si>
  <si>
    <t>0104-077</t>
  </si>
  <si>
    <t>الظلماوى</t>
  </si>
  <si>
    <t>0104-078</t>
  </si>
  <si>
    <t>ابو ركب</t>
  </si>
  <si>
    <t>0104-079</t>
  </si>
  <si>
    <t>الصالحيه</t>
  </si>
  <si>
    <t>0104-080</t>
  </si>
  <si>
    <t>عسيله الوسطى</t>
  </si>
  <si>
    <t>0104-081</t>
  </si>
  <si>
    <t>العازميه</t>
  </si>
  <si>
    <t>0104-082</t>
  </si>
  <si>
    <t>سهله</t>
  </si>
  <si>
    <t>0104-083</t>
  </si>
  <si>
    <t>ساحب</t>
  </si>
  <si>
    <t>0104-084</t>
  </si>
  <si>
    <t>مشرف</t>
  </si>
  <si>
    <t>0104-085</t>
  </si>
  <si>
    <t>التسرير</t>
  </si>
  <si>
    <t>0104-086</t>
  </si>
  <si>
    <t>شراره</t>
  </si>
  <si>
    <t>0104-087</t>
  </si>
  <si>
    <t>الروسان بالقرنة</t>
  </si>
  <si>
    <t>0104-088</t>
  </si>
  <si>
    <t>الديريه</t>
  </si>
  <si>
    <t>0104-089</t>
  </si>
  <si>
    <t>نجخ</t>
  </si>
  <si>
    <t>0104-090</t>
  </si>
  <si>
    <t>مساوي</t>
  </si>
  <si>
    <t>0104-091</t>
  </si>
  <si>
    <t>الثندوه</t>
  </si>
  <si>
    <t>0104-092</t>
  </si>
  <si>
    <t>هجرة الفيحاء</t>
  </si>
  <si>
    <t>0104-093</t>
  </si>
  <si>
    <t>المصلوم</t>
  </si>
  <si>
    <t>0104-094</t>
  </si>
  <si>
    <t>المحمديه</t>
  </si>
  <si>
    <t>0104-095</t>
  </si>
  <si>
    <t>الفيصليه</t>
  </si>
  <si>
    <t>0104-096</t>
  </si>
  <si>
    <t>المدرع</t>
  </si>
  <si>
    <t>0104-097</t>
  </si>
  <si>
    <t>المنجور</t>
  </si>
  <si>
    <t>0104-098</t>
  </si>
  <si>
    <t>الحفنه بالدوادمي</t>
  </si>
  <si>
    <t>0104-099</t>
  </si>
  <si>
    <t>الشاميه</t>
  </si>
  <si>
    <t>0104-100</t>
  </si>
  <si>
    <t>روضة عنز بنفي</t>
  </si>
  <si>
    <t>0104-101</t>
  </si>
  <si>
    <t>أم المناشير</t>
  </si>
  <si>
    <t>0104-102</t>
  </si>
  <si>
    <t>الفاخرية</t>
  </si>
  <si>
    <t>0104-103</t>
  </si>
  <si>
    <t>كبيشة</t>
  </si>
  <si>
    <t>0104-104</t>
  </si>
  <si>
    <t>فيضة سلام</t>
  </si>
  <si>
    <t>0105-001</t>
  </si>
  <si>
    <t>حوطه سدير</t>
  </si>
  <si>
    <t>0105-002</t>
  </si>
  <si>
    <t>جلاجل</t>
  </si>
  <si>
    <t>0105-003</t>
  </si>
  <si>
    <t>روضه سدير</t>
  </si>
  <si>
    <t>0105-004</t>
  </si>
  <si>
    <t>الارطاويه</t>
  </si>
  <si>
    <t>0105-005</t>
  </si>
  <si>
    <t>تمير</t>
  </si>
  <si>
    <t>0105-006</t>
  </si>
  <si>
    <t>حرمه</t>
  </si>
  <si>
    <t>0105-007</t>
  </si>
  <si>
    <t>الفروثى</t>
  </si>
  <si>
    <t>0105-008</t>
  </si>
  <si>
    <t>جراب</t>
  </si>
  <si>
    <t>0105-009</t>
  </si>
  <si>
    <t>ام الجماجم</t>
  </si>
  <si>
    <t>0105-010</t>
  </si>
  <si>
    <t>القاعيه بسدير</t>
  </si>
  <si>
    <t>approximate (governorate centre, ±157km)</t>
  </si>
  <si>
    <t>0105-011</t>
  </si>
  <si>
    <t>ام رجوم</t>
  </si>
  <si>
    <t>0105-012</t>
  </si>
  <si>
    <t>عوده سدير</t>
  </si>
  <si>
    <t>0105-013</t>
  </si>
  <si>
    <t>مشاش عوض</t>
  </si>
  <si>
    <t>0105-014</t>
  </si>
  <si>
    <t>العطار</t>
  </si>
  <si>
    <t>0105-015</t>
  </si>
  <si>
    <t>الجنوبية بسدير</t>
  </si>
  <si>
    <t>0105-016</t>
  </si>
  <si>
    <t>عشيرة سدير</t>
  </si>
  <si>
    <t>0105-017</t>
  </si>
  <si>
    <t>التويم</t>
  </si>
  <si>
    <t>0105-018</t>
  </si>
  <si>
    <t>الخيس</t>
  </si>
  <si>
    <t>0105-019</t>
  </si>
  <si>
    <t>الحصون</t>
  </si>
  <si>
    <t>0105-020</t>
  </si>
  <si>
    <t>العمار بسدير</t>
  </si>
  <si>
    <t>0105-021</t>
  </si>
  <si>
    <t>الرويضه بسدير</t>
  </si>
  <si>
    <t>0105-022</t>
  </si>
  <si>
    <t>الداخله</t>
  </si>
  <si>
    <t>0105-023</t>
  </si>
  <si>
    <t>الخطامه</t>
  </si>
  <si>
    <t>0105-024</t>
  </si>
  <si>
    <t>مبايض</t>
  </si>
  <si>
    <t>0105-025</t>
  </si>
  <si>
    <t>الجنيفى</t>
  </si>
  <si>
    <t>0105-026</t>
  </si>
  <si>
    <t>المعشبه</t>
  </si>
  <si>
    <t>0105-027</t>
  </si>
  <si>
    <t>الحاير بسدير</t>
  </si>
  <si>
    <t>0105-028</t>
  </si>
  <si>
    <t>وشي</t>
  </si>
  <si>
    <t>0105-029</t>
  </si>
  <si>
    <t>بوضاء بسدير</t>
  </si>
  <si>
    <t>0105-030</t>
  </si>
  <si>
    <t>الشعب</t>
  </si>
  <si>
    <t>0105-031</t>
  </si>
  <si>
    <t>حويمضه</t>
  </si>
  <si>
    <t>0105-032</t>
  </si>
  <si>
    <t>البرزه</t>
  </si>
  <si>
    <t>0105-033</t>
  </si>
  <si>
    <t>ام سدره</t>
  </si>
  <si>
    <t>0105-034</t>
  </si>
  <si>
    <t>الشحمه</t>
  </si>
  <si>
    <t>0105-035</t>
  </si>
  <si>
    <t>مشذوبه</t>
  </si>
  <si>
    <t>0105-036</t>
  </si>
  <si>
    <t>ام سديره</t>
  </si>
  <si>
    <t>0106-001</t>
  </si>
  <si>
    <t>الخاصره</t>
  </si>
  <si>
    <t>0106-002</t>
  </si>
  <si>
    <t>الرويضة بالعرض</t>
  </si>
  <si>
    <t>approximate (governorate centre, ±205km)</t>
  </si>
  <si>
    <t>0106-003</t>
  </si>
  <si>
    <t>سنام</t>
  </si>
  <si>
    <t>0106-004</t>
  </si>
  <si>
    <t>الحرمليه</t>
  </si>
  <si>
    <t>0106-005</t>
  </si>
  <si>
    <t>حلبان</t>
  </si>
  <si>
    <t>0106-006</t>
  </si>
  <si>
    <t>الفويلق</t>
  </si>
  <si>
    <t>0106-007</t>
  </si>
  <si>
    <t>مزعل</t>
  </si>
  <si>
    <t>0106-008</t>
  </si>
  <si>
    <t>الخروعيه</t>
  </si>
  <si>
    <t>0106-009</t>
  </si>
  <si>
    <t>صبحاء</t>
  </si>
  <si>
    <t>0106-010</t>
  </si>
  <si>
    <t>ام سريحه</t>
  </si>
  <si>
    <t>0106-011</t>
  </si>
  <si>
    <t>روضة الشيابين</t>
  </si>
  <si>
    <t>0106-012</t>
  </si>
  <si>
    <t>بدائع العصمه</t>
  </si>
  <si>
    <t>0106-013</t>
  </si>
  <si>
    <t>الخنيقيه</t>
  </si>
  <si>
    <t>0106-014</t>
  </si>
  <si>
    <t>طحي</t>
  </si>
  <si>
    <t>0106-015</t>
  </si>
  <si>
    <t>البدع بسنان</t>
  </si>
  <si>
    <t>0106-016</t>
  </si>
  <si>
    <t>صبحاء الشعيب</t>
  </si>
  <si>
    <t>0106-017</t>
  </si>
  <si>
    <t>لجعه</t>
  </si>
  <si>
    <t>0106-018</t>
  </si>
  <si>
    <t>تبراك والجلة</t>
  </si>
  <si>
    <t>0106-019</t>
  </si>
  <si>
    <t>الفهيدات</t>
  </si>
  <si>
    <t>0106-020</t>
  </si>
  <si>
    <t>الخرائق</t>
  </si>
  <si>
    <t>0106-021</t>
  </si>
  <si>
    <t>نخيلان</t>
  </si>
  <si>
    <t>0106-022</t>
  </si>
  <si>
    <t>الجفارة</t>
  </si>
  <si>
    <t>0106-023</t>
  </si>
  <si>
    <t>جزيل</t>
  </si>
  <si>
    <t>0106-024</t>
  </si>
  <si>
    <t>جزالا</t>
  </si>
  <si>
    <t>0106-025</t>
  </si>
  <si>
    <t>مويسل</t>
  </si>
  <si>
    <t>0106-026</t>
  </si>
  <si>
    <t>وادي الخنقة</t>
  </si>
  <si>
    <t>0106-027</t>
  </si>
  <si>
    <t>دسمان</t>
  </si>
  <si>
    <t>0106-028</t>
  </si>
  <si>
    <t>محيرقه</t>
  </si>
  <si>
    <t>0106-029</t>
  </si>
  <si>
    <t>الامار</t>
  </si>
  <si>
    <t>0106-030</t>
  </si>
  <si>
    <t>حجيلاء</t>
  </si>
  <si>
    <t>0106-031</t>
  </si>
  <si>
    <t>حلاة الجله</t>
  </si>
  <si>
    <t>0106-032</t>
  </si>
  <si>
    <t>تبراك</t>
  </si>
  <si>
    <t>0106-033</t>
  </si>
  <si>
    <t>قنيفذه</t>
  </si>
  <si>
    <t>0106-034</t>
  </si>
  <si>
    <t>عصيل</t>
  </si>
  <si>
    <t>0106-035</t>
  </si>
  <si>
    <t>الفويلق الشمالي</t>
  </si>
  <si>
    <t>0106-036</t>
  </si>
  <si>
    <t>الخاصره القديمه</t>
  </si>
  <si>
    <t>0106-037</t>
  </si>
  <si>
    <t>المديفع</t>
  </si>
  <si>
    <t>0106-038</t>
  </si>
  <si>
    <t>الخالدية</t>
  </si>
  <si>
    <t>0106-039</t>
  </si>
  <si>
    <t>الجله القديم</t>
  </si>
  <si>
    <t>0106-040</t>
  </si>
  <si>
    <t>الخروعيه القديمه</t>
  </si>
  <si>
    <t>0106-041</t>
  </si>
  <si>
    <t>أم جدير</t>
  </si>
  <si>
    <t>0106-042</t>
  </si>
  <si>
    <t>الكلا</t>
  </si>
  <si>
    <t>0106-043</t>
  </si>
  <si>
    <t>المليحاء</t>
  </si>
  <si>
    <t>0106-044</t>
  </si>
  <si>
    <t>الجله الجنوبي</t>
  </si>
  <si>
    <t>0106-045</t>
  </si>
  <si>
    <t>العدامة</t>
  </si>
  <si>
    <t>0106-046</t>
  </si>
  <si>
    <t>الجلة</t>
  </si>
  <si>
    <t>0106-047</t>
  </si>
  <si>
    <t>فيضة أعبيلة</t>
  </si>
  <si>
    <t>0106-048</t>
  </si>
  <si>
    <t>صبحاء القديمة</t>
  </si>
  <si>
    <t>0107-001</t>
  </si>
  <si>
    <t>كمده</t>
  </si>
  <si>
    <t>0107-002</t>
  </si>
  <si>
    <t>الفاو</t>
  </si>
  <si>
    <t>0107-003</t>
  </si>
  <si>
    <t>العسيلة</t>
  </si>
  <si>
    <t>0107-004</t>
  </si>
  <si>
    <t>صيحه</t>
  </si>
  <si>
    <t>approximate (governorate centre, ±221km)</t>
  </si>
  <si>
    <t>0107-005</t>
  </si>
  <si>
    <t>المصارير</t>
  </si>
  <si>
    <t>0107-006</t>
  </si>
  <si>
    <t>همجات بني بدوة</t>
  </si>
  <si>
    <t>0107-007</t>
  </si>
  <si>
    <t>بلثقاء</t>
  </si>
  <si>
    <t>0107-008</t>
  </si>
  <si>
    <t>النميص</t>
  </si>
  <si>
    <t>0107-009</t>
  </si>
  <si>
    <t>الحمره</t>
  </si>
  <si>
    <t>0108-001</t>
  </si>
  <si>
    <t>الهدار</t>
  </si>
  <si>
    <t>0108-002</t>
  </si>
  <si>
    <t>الاحمر</t>
  </si>
  <si>
    <t>0108-003</t>
  </si>
  <si>
    <t>البديع الشمالى</t>
  </si>
  <si>
    <t>0108-004</t>
  </si>
  <si>
    <t>البديع الجنوبي</t>
  </si>
  <si>
    <t>0108-005</t>
  </si>
  <si>
    <t>السيح الشمالي (القطين)</t>
  </si>
  <si>
    <t>approximate (governorate centre, ±197km)</t>
  </si>
  <si>
    <t>0108-006</t>
  </si>
  <si>
    <t>حراضه</t>
  </si>
  <si>
    <t>0108-007</t>
  </si>
  <si>
    <t>واسط</t>
  </si>
  <si>
    <t>0108-008</t>
  </si>
  <si>
    <t>السيح الجنوبي</t>
  </si>
  <si>
    <t>0108-009</t>
  </si>
  <si>
    <t>رفاع السيح الشمالي</t>
  </si>
  <si>
    <t>0108-010</t>
  </si>
  <si>
    <t>ستاره</t>
  </si>
  <si>
    <t>0108-011</t>
  </si>
  <si>
    <t>الغيل</t>
  </si>
  <si>
    <t>0108-012</t>
  </si>
  <si>
    <t>الروضه</t>
  </si>
  <si>
    <t>0108-013</t>
  </si>
  <si>
    <t>الصغو</t>
  </si>
  <si>
    <t>0108-014</t>
  </si>
  <si>
    <t>العمار</t>
  </si>
  <si>
    <t>0108-015</t>
  </si>
  <si>
    <t>السيح</t>
  </si>
  <si>
    <t>0108-016</t>
  </si>
  <si>
    <t>مروان</t>
  </si>
  <si>
    <t>0108-017</t>
  </si>
  <si>
    <t>سويدان</t>
  </si>
  <si>
    <t>0108-018</t>
  </si>
  <si>
    <t>قصر القاسم</t>
  </si>
  <si>
    <t>0108-019</t>
  </si>
  <si>
    <t>الهدار الجنوبي</t>
  </si>
  <si>
    <t>0108-020</t>
  </si>
  <si>
    <t>الوداعين</t>
  </si>
  <si>
    <t>0108-021</t>
  </si>
  <si>
    <t>وسيله</t>
  </si>
  <si>
    <t>0108-022</t>
  </si>
  <si>
    <t>الخرفه</t>
  </si>
  <si>
    <t>0108-023</t>
  </si>
  <si>
    <t>العجيلية</t>
  </si>
  <si>
    <t>0108-024</t>
  </si>
  <si>
    <t>الهمجة</t>
  </si>
  <si>
    <t>0108-025</t>
  </si>
  <si>
    <t>النايفية</t>
  </si>
  <si>
    <t>0108-026</t>
  </si>
  <si>
    <t>0108-027</t>
  </si>
  <si>
    <t>ريمان</t>
  </si>
  <si>
    <t>0108-028</t>
  </si>
  <si>
    <t>الفرشة</t>
  </si>
  <si>
    <t>0109-001</t>
  </si>
  <si>
    <t>علقة</t>
  </si>
  <si>
    <t>0109-002</t>
  </si>
  <si>
    <t>الثويرات</t>
  </si>
  <si>
    <t>0109-003</t>
  </si>
  <si>
    <t>الحموديه</t>
  </si>
  <si>
    <t>0109-004</t>
  </si>
  <si>
    <t>المستوي</t>
  </si>
  <si>
    <t>0109-005</t>
  </si>
  <si>
    <t>البعيثه</t>
  </si>
  <si>
    <t>0110-001</t>
  </si>
  <si>
    <t>القصب</t>
  </si>
  <si>
    <t>0110-002</t>
  </si>
  <si>
    <t>الوقف</t>
  </si>
  <si>
    <t>0110-003</t>
  </si>
  <si>
    <t>الصوح</t>
  </si>
  <si>
    <t>0110-004</t>
  </si>
  <si>
    <t>الحريق بالوشم</t>
  </si>
  <si>
    <t>approximate (governorate centre, ±75km)</t>
  </si>
  <si>
    <t>0110-005</t>
  </si>
  <si>
    <t>باديه الداهنه</t>
  </si>
  <si>
    <t>0110-006</t>
  </si>
  <si>
    <t>حاضره الداهنه</t>
  </si>
  <si>
    <t>0110-007</t>
  </si>
  <si>
    <t>غسلة بالقرائن</t>
  </si>
  <si>
    <t>0110-008</t>
  </si>
  <si>
    <t>المشاش</t>
  </si>
  <si>
    <t>0110-009</t>
  </si>
  <si>
    <t>الفرعه</t>
  </si>
  <si>
    <t>0110-010</t>
  </si>
  <si>
    <t>الجريفه</t>
  </si>
  <si>
    <t>0110-011</t>
  </si>
  <si>
    <t>اشيقر</t>
  </si>
  <si>
    <t>0111-001</t>
  </si>
  <si>
    <t>الحلوه</t>
  </si>
  <si>
    <t>approximate (governorate centre)</t>
  </si>
  <si>
    <t>0111-002</t>
  </si>
  <si>
    <t>العطيان</t>
  </si>
  <si>
    <t>0111-003</t>
  </si>
  <si>
    <t>القبابنه</t>
  </si>
  <si>
    <t>0111-004</t>
  </si>
  <si>
    <t>الحيانيه</t>
  </si>
  <si>
    <t>0111-005</t>
  </si>
  <si>
    <t>القويع</t>
  </si>
  <si>
    <t>0111-006</t>
  </si>
  <si>
    <t>آل بريك</t>
  </si>
  <si>
    <t>0111-007</t>
  </si>
  <si>
    <t>الفرشه</t>
  </si>
  <si>
    <t>0111-008</t>
  </si>
  <si>
    <t>وادي برك</t>
  </si>
  <si>
    <t>0112-001</t>
  </si>
  <si>
    <t>الحوميات</t>
  </si>
  <si>
    <t>0112-002</t>
  </si>
  <si>
    <t>الجمانيه</t>
  </si>
  <si>
    <t>0112-003</t>
  </si>
  <si>
    <t>ابرقيه</t>
  </si>
  <si>
    <t>0112-004</t>
  </si>
  <si>
    <t>عبلاء</t>
  </si>
  <si>
    <t>0112-005</t>
  </si>
  <si>
    <t>ام ارطاء</t>
  </si>
  <si>
    <t>0112-006</t>
  </si>
  <si>
    <t>بدائع العضيان</t>
  </si>
  <si>
    <t>0112-007</t>
  </si>
  <si>
    <t>الخضاره</t>
  </si>
  <si>
    <t>0112-008</t>
  </si>
  <si>
    <t>الاشعريه</t>
  </si>
  <si>
    <t>0112-009</t>
  </si>
  <si>
    <t>الحنابج</t>
  </si>
  <si>
    <t>0112-010</t>
  </si>
  <si>
    <t>اللنسيات</t>
  </si>
  <si>
    <t>0112-011</t>
  </si>
  <si>
    <t>محاماة ابن زريبه</t>
  </si>
  <si>
    <t>approximate (governorate centre, ±164km)</t>
  </si>
  <si>
    <t>0112-012</t>
  </si>
  <si>
    <t>البحره</t>
  </si>
  <si>
    <t>0112-013</t>
  </si>
  <si>
    <t>بطاحة</t>
  </si>
  <si>
    <t>0112-014</t>
  </si>
  <si>
    <t>الصقره</t>
  </si>
  <si>
    <t>0112-015</t>
  </si>
  <si>
    <t>المكلاه</t>
  </si>
  <si>
    <t>0112-016</t>
  </si>
  <si>
    <t>الجثوم</t>
  </si>
  <si>
    <t>0112-017</t>
  </si>
  <si>
    <t>الشواطن</t>
  </si>
  <si>
    <t>0112-018</t>
  </si>
  <si>
    <t>المردمه</t>
  </si>
  <si>
    <t>0112-019</t>
  </si>
  <si>
    <t>محامه بن مصوى</t>
  </si>
  <si>
    <t>0112-020</t>
  </si>
  <si>
    <t>ابو عشره</t>
  </si>
  <si>
    <t>0112-021</t>
  </si>
  <si>
    <t>المعلق</t>
  </si>
  <si>
    <t>0112-022</t>
  </si>
  <si>
    <t>وبره</t>
  </si>
  <si>
    <t>0112-023</t>
  </si>
  <si>
    <t>فيضة نومان</t>
  </si>
  <si>
    <t>0112-024</t>
  </si>
  <si>
    <t>الكفية</t>
  </si>
  <si>
    <t>0112-025</t>
  </si>
  <si>
    <t>روضة عسعس</t>
  </si>
  <si>
    <t>0112-026</t>
  </si>
  <si>
    <t>العسيبي</t>
  </si>
  <si>
    <t>0112-027</t>
  </si>
  <si>
    <t>دارة المردمة</t>
  </si>
  <si>
    <t>0112-028</t>
  </si>
  <si>
    <t>الصفوية</t>
  </si>
  <si>
    <t>0112-029</t>
  </si>
  <si>
    <t>أم سرحه</t>
  </si>
  <si>
    <t>0112-030</t>
  </si>
  <si>
    <t>المنصورة</t>
  </si>
  <si>
    <t>0112-031</t>
  </si>
  <si>
    <t>الحمادة</t>
  </si>
  <si>
    <t>0113-001</t>
  </si>
  <si>
    <t>تمره</t>
  </si>
  <si>
    <t>0113-002</t>
  </si>
  <si>
    <t>ريداء</t>
  </si>
  <si>
    <t>0113-003</t>
  </si>
  <si>
    <t>خيران</t>
  </si>
  <si>
    <t>0113-004</t>
  </si>
  <si>
    <t>الشيديه</t>
  </si>
  <si>
    <t>0114-001</t>
  </si>
  <si>
    <t>قصور ال مقبل</t>
  </si>
  <si>
    <t>0114-002</t>
  </si>
  <si>
    <t>جو</t>
  </si>
  <si>
    <t>0114-003</t>
  </si>
  <si>
    <t>الغزيز</t>
  </si>
  <si>
    <t>0114-004</t>
  </si>
  <si>
    <t>السيباني</t>
  </si>
  <si>
    <t>0114-005</t>
  </si>
  <si>
    <t>الجافوره</t>
  </si>
  <si>
    <t>0114-006</t>
  </si>
  <si>
    <t>0114-007</t>
  </si>
  <si>
    <t>العليا</t>
  </si>
  <si>
    <t>0115-001</t>
  </si>
  <si>
    <t>البخراء</t>
  </si>
  <si>
    <t>0115-002</t>
  </si>
  <si>
    <t>الجفير</t>
  </si>
  <si>
    <t>0115-003</t>
  </si>
  <si>
    <t>حويره نساح</t>
  </si>
  <si>
    <t>approximate (governorate centre, ±68km)</t>
  </si>
  <si>
    <t>0115-004</t>
  </si>
  <si>
    <t>حفيره نساح</t>
  </si>
  <si>
    <t>0115-005</t>
  </si>
  <si>
    <t>المشاعله</t>
  </si>
  <si>
    <t>0115-006</t>
  </si>
  <si>
    <t>الزبائر</t>
  </si>
  <si>
    <t>0115-007</t>
  </si>
  <si>
    <t>اللغف</t>
  </si>
  <si>
    <t>0115-008</t>
  </si>
  <si>
    <t>الصدر الأعلى</t>
  </si>
  <si>
    <t>0116-001</t>
  </si>
  <si>
    <t>شويه</t>
  </si>
  <si>
    <t>0116-002</t>
  </si>
  <si>
    <t>الرمحيه</t>
  </si>
  <si>
    <t>0116-003</t>
  </si>
  <si>
    <t>العيطليه</t>
  </si>
  <si>
    <t>0116-004</t>
  </si>
  <si>
    <t>حفر العتش</t>
  </si>
  <si>
    <t>0116-005</t>
  </si>
  <si>
    <t>العمانيه</t>
  </si>
  <si>
    <t>0116-006</t>
  </si>
  <si>
    <t>المزيرع</t>
  </si>
  <si>
    <t>0116-007</t>
  </si>
  <si>
    <t>الغيلانه</t>
  </si>
  <si>
    <t>0116-008</t>
  </si>
  <si>
    <t>سعد</t>
  </si>
  <si>
    <t>0116-009</t>
  </si>
  <si>
    <t>الفيحانية</t>
  </si>
  <si>
    <t>0116-010</t>
  </si>
  <si>
    <t>الطيري</t>
  </si>
  <si>
    <t>0117-001</t>
  </si>
  <si>
    <t>رغبه</t>
  </si>
  <si>
    <t>0117-002</t>
  </si>
  <si>
    <t>البير</t>
  </si>
  <si>
    <t>0117-003</t>
  </si>
  <si>
    <t>الحسي</t>
  </si>
  <si>
    <t>0117-004</t>
  </si>
  <si>
    <t>الصفرات</t>
  </si>
  <si>
    <t>0117-005</t>
  </si>
  <si>
    <t>رويضه السهول</t>
  </si>
  <si>
    <t>0117-006</t>
  </si>
  <si>
    <t>مشاش السهول</t>
  </si>
  <si>
    <t>0117-007</t>
  </si>
  <si>
    <t>رويغب</t>
  </si>
  <si>
    <t>approximate (governorate centre, ±76km)</t>
  </si>
  <si>
    <t>0117-008</t>
  </si>
  <si>
    <t>الخاتله</t>
  </si>
  <si>
    <t>0117-009</t>
  </si>
  <si>
    <t>الدبيجه</t>
  </si>
  <si>
    <t>0118-001</t>
  </si>
  <si>
    <t>ملهم</t>
  </si>
  <si>
    <t>0118-002</t>
  </si>
  <si>
    <t>صلبوخ</t>
  </si>
  <si>
    <t>0118-003</t>
  </si>
  <si>
    <t>القرينه</t>
  </si>
  <si>
    <t>0118-004</t>
  </si>
  <si>
    <t>العويند</t>
  </si>
  <si>
    <t>0118-005</t>
  </si>
  <si>
    <t>غيانه</t>
  </si>
  <si>
    <t>0118-006</t>
  </si>
  <si>
    <t>دقله</t>
  </si>
  <si>
    <t>0118-007</t>
  </si>
  <si>
    <t>البويرده</t>
  </si>
  <si>
    <t>0119-001</t>
  </si>
  <si>
    <t>نعام</t>
  </si>
  <si>
    <t>0119-002</t>
  </si>
  <si>
    <t>المفيجر</t>
  </si>
  <si>
    <t>approximate (governorate centre, ±81km)</t>
  </si>
  <si>
    <t>0119-003</t>
  </si>
  <si>
    <t>ابو رمل</t>
  </si>
  <si>
    <t>0119-004</t>
  </si>
  <si>
    <t>الربواء</t>
  </si>
  <si>
    <t>0120-001</t>
  </si>
  <si>
    <t>مليح</t>
  </si>
  <si>
    <t>0120-002</t>
  </si>
  <si>
    <t>ابا الصلابيخ</t>
  </si>
  <si>
    <t>0120-003</t>
  </si>
  <si>
    <t>العبدليه</t>
  </si>
  <si>
    <t>0121-001</t>
  </si>
  <si>
    <t>اثيثيه</t>
  </si>
  <si>
    <t>0121-002</t>
  </si>
  <si>
    <t>ثرمداء</t>
  </si>
  <si>
    <t>0121-003</t>
  </si>
  <si>
    <t>لبخه</t>
  </si>
  <si>
    <t>0121-004</t>
  </si>
  <si>
    <t>حويته</t>
  </si>
  <si>
    <t>0123-001</t>
  </si>
  <si>
    <t>الرين القديم</t>
  </si>
  <si>
    <t>approximate (governorate centre, ±131km)</t>
  </si>
  <si>
    <t>0123-002</t>
  </si>
  <si>
    <t>قبيبان</t>
  </si>
  <si>
    <t>0123-003</t>
  </si>
  <si>
    <t>عبليه بالرين</t>
  </si>
  <si>
    <t>0123-004</t>
  </si>
  <si>
    <t>الرفاع بالرين</t>
  </si>
  <si>
    <t>0123-005</t>
  </si>
  <si>
    <t>المعيزيله</t>
  </si>
  <si>
    <t>0123-006</t>
  </si>
  <si>
    <t>المثناه بالرين</t>
  </si>
  <si>
    <t>0123-007</t>
  </si>
  <si>
    <t>الفرعه بالرين</t>
  </si>
  <si>
    <t>0123-008</t>
  </si>
  <si>
    <t>الرين الاعلى</t>
  </si>
  <si>
    <t>0123-009</t>
  </si>
  <si>
    <t>البدائع بالرين</t>
  </si>
  <si>
    <t>0123-010</t>
  </si>
  <si>
    <t>الرواما</t>
  </si>
  <si>
    <t>0123-011</t>
  </si>
  <si>
    <t>الناصفه بالرين وآل عاطف بالرين</t>
  </si>
  <si>
    <t>0123-012</t>
  </si>
  <si>
    <t>الحلوة بالرين</t>
  </si>
  <si>
    <t>0123-013</t>
  </si>
  <si>
    <t>السحيميه</t>
  </si>
  <si>
    <t>0123-014</t>
  </si>
  <si>
    <t>الحجاجى</t>
  </si>
  <si>
    <t>0123-015</t>
  </si>
  <si>
    <t>فيضة بن سعيدان</t>
  </si>
  <si>
    <t>0123-016</t>
  </si>
  <si>
    <t>عنان</t>
  </si>
  <si>
    <t>0123-017</t>
  </si>
  <si>
    <t>ام نخله</t>
  </si>
  <si>
    <t>0123-018</t>
  </si>
  <si>
    <t>المغزالية</t>
  </si>
  <si>
    <t>0123-019</t>
  </si>
  <si>
    <t>الفوارة</t>
  </si>
  <si>
    <t>0123-020</t>
  </si>
  <si>
    <t>شلاح</t>
  </si>
  <si>
    <t>0123-021</t>
  </si>
  <si>
    <t>متعبة</t>
  </si>
  <si>
    <t>0123-022</t>
  </si>
  <si>
    <t>الحصاة</t>
  </si>
  <si>
    <t>0123-023</t>
  </si>
  <si>
    <t>خيم الحصاة</t>
  </si>
  <si>
    <t>0123-024</t>
  </si>
  <si>
    <t>الرقميه</t>
  </si>
  <si>
    <t>0123-025</t>
  </si>
  <si>
    <t>حريملاء الحصاة</t>
  </si>
  <si>
    <t>0123-026</t>
  </si>
  <si>
    <t>جاحد</t>
  </si>
  <si>
    <t>0123-027</t>
  </si>
  <si>
    <t>حفيرة صماخ</t>
  </si>
  <si>
    <t>0123-028</t>
  </si>
  <si>
    <t>أم سلم</t>
  </si>
  <si>
    <t>0123-029</t>
  </si>
  <si>
    <t>الهفوف</t>
  </si>
  <si>
    <t>0123-030</t>
  </si>
  <si>
    <t>الرفايع بالرين</t>
  </si>
  <si>
    <t>0123-031</t>
  </si>
  <si>
    <t>الرجع بالرين</t>
  </si>
  <si>
    <t>0123-032</t>
  </si>
  <si>
    <t>العفج بالرين</t>
  </si>
  <si>
    <t>0123-033</t>
  </si>
  <si>
    <t>لجع</t>
  </si>
  <si>
    <t>0123-034</t>
  </si>
  <si>
    <t>العمق</t>
  </si>
  <si>
    <t>0123-035</t>
  </si>
  <si>
    <t>حفاير الوهوهي</t>
  </si>
  <si>
    <t>0123-036</t>
  </si>
  <si>
    <t>ذعيفان</t>
  </si>
  <si>
    <t>0123-037</t>
  </si>
  <si>
    <t>حميمان</t>
  </si>
  <si>
    <t>0123-038</t>
  </si>
  <si>
    <t>عيينان</t>
  </si>
  <si>
    <t>0123-039</t>
  </si>
  <si>
    <t>المليحه الطويله</t>
  </si>
  <si>
    <t>0123-040</t>
  </si>
  <si>
    <t>هجرة عشق</t>
  </si>
  <si>
    <t>0123-041</t>
  </si>
  <si>
    <t>المجذميه</t>
  </si>
  <si>
    <t>0123-042</t>
  </si>
  <si>
    <t>الحصاة القصوى</t>
  </si>
  <si>
    <t>0201-001</t>
  </si>
  <si>
    <t>المضيق</t>
  </si>
  <si>
    <t>0201-002</t>
  </si>
  <si>
    <t>الزيمه</t>
  </si>
  <si>
    <t>0201-003</t>
  </si>
  <si>
    <t>المطارفه</t>
  </si>
  <si>
    <t>approximate (governorate centre, ±64km)</t>
  </si>
  <si>
    <t>0201-004</t>
  </si>
  <si>
    <t>جعرانه</t>
  </si>
  <si>
    <t>0201-005</t>
  </si>
  <si>
    <t>البجيدي</t>
  </si>
  <si>
    <t>0201-006</t>
  </si>
  <si>
    <t>بني عمير</t>
  </si>
  <si>
    <t>0202-001</t>
  </si>
  <si>
    <t>ثول</t>
  </si>
  <si>
    <t>0203-001</t>
  </si>
  <si>
    <t>الهدا</t>
  </si>
  <si>
    <t>0203-002</t>
  </si>
  <si>
    <t>المحاني</t>
  </si>
  <si>
    <t>0203-003</t>
  </si>
  <si>
    <t>السيل الكبير</t>
  </si>
  <si>
    <t>0203-004</t>
  </si>
  <si>
    <t>الشفا</t>
  </si>
  <si>
    <t>0203-005</t>
  </si>
  <si>
    <t>عشيره</t>
  </si>
  <si>
    <t>0203-006</t>
  </si>
  <si>
    <t>السديره</t>
  </si>
  <si>
    <t>0203-007</t>
  </si>
  <si>
    <t>0203-008</t>
  </si>
  <si>
    <t>قياء</t>
  </si>
  <si>
    <t>0203-009</t>
  </si>
  <si>
    <t>الفريع</t>
  </si>
  <si>
    <t>0203-010</t>
  </si>
  <si>
    <t>آل مشعان</t>
  </si>
  <si>
    <t>0203-011</t>
  </si>
  <si>
    <t>فيضة المسلح</t>
  </si>
  <si>
    <t>0203-012</t>
  </si>
  <si>
    <t>شقصان</t>
  </si>
  <si>
    <t>0203-013</t>
  </si>
  <si>
    <t>الحفاير</t>
  </si>
  <si>
    <t>0203-014</t>
  </si>
  <si>
    <t>العطيف</t>
  </si>
  <si>
    <t>0203-015</t>
  </si>
  <si>
    <t>العاند</t>
  </si>
  <si>
    <t>0203-016</t>
  </si>
  <si>
    <t>0203-017</t>
  </si>
  <si>
    <t>وادي كلاخ</t>
  </si>
  <si>
    <t>0203-018</t>
  </si>
  <si>
    <t>دغبج</t>
  </si>
  <si>
    <t>0204-001</t>
  </si>
  <si>
    <t>القوز</t>
  </si>
  <si>
    <t>0204-002</t>
  </si>
  <si>
    <t>حلى</t>
  </si>
  <si>
    <t>0204-003</t>
  </si>
  <si>
    <t>المظيلف</t>
  </si>
  <si>
    <t>0204-004</t>
  </si>
  <si>
    <t>سبت الجاره</t>
  </si>
  <si>
    <t>approximate (governorate centre, ±111km)</t>
  </si>
  <si>
    <t>0204-005</t>
  </si>
  <si>
    <t>ثلاثاء الخرم</t>
  </si>
  <si>
    <t>0204-006</t>
  </si>
  <si>
    <t>دوقة</t>
  </si>
  <si>
    <t>0204-007</t>
  </si>
  <si>
    <t>كنانه</t>
  </si>
  <si>
    <t>0204-008</t>
  </si>
  <si>
    <t>احد بنى زيد</t>
  </si>
  <si>
    <t>0204-009</t>
  </si>
  <si>
    <t>خميس حرب</t>
  </si>
  <si>
    <t>0216-001</t>
  </si>
  <si>
    <t>الرايم</t>
  </si>
  <si>
    <t>0205-001</t>
  </si>
  <si>
    <t>غميقه</t>
  </si>
  <si>
    <t>0205-002</t>
  </si>
  <si>
    <t>الشواق</t>
  </si>
  <si>
    <t>0205-003</t>
  </si>
  <si>
    <t>يلملم</t>
  </si>
  <si>
    <t>0205-004</t>
  </si>
  <si>
    <t>مجمع الطرق</t>
  </si>
  <si>
    <t>approximate (governorate centre, ±105km)</t>
  </si>
  <si>
    <t>0205-005</t>
  </si>
  <si>
    <t>السعديه</t>
  </si>
  <si>
    <t>0205-006</t>
  </si>
  <si>
    <t>بني يزيد</t>
  </si>
  <si>
    <t>0205-007</t>
  </si>
  <si>
    <t>جذم</t>
  </si>
  <si>
    <t>0205-008</t>
  </si>
  <si>
    <t>سعيا</t>
  </si>
  <si>
    <t>0205-009</t>
  </si>
  <si>
    <t>حفار</t>
  </si>
  <si>
    <t>0205-010</t>
  </si>
  <si>
    <t>صلاق</t>
  </si>
  <si>
    <t>0205-011</t>
  </si>
  <si>
    <t>الرهوه</t>
  </si>
  <si>
    <t>0206-001</t>
  </si>
  <si>
    <t>حجر</t>
  </si>
  <si>
    <t>0206-002</t>
  </si>
  <si>
    <t>مستوره</t>
  </si>
  <si>
    <t>0206-003</t>
  </si>
  <si>
    <t>النويبع</t>
  </si>
  <si>
    <t>approximate (governorate centre, ±91km)</t>
  </si>
  <si>
    <t>0206-004</t>
  </si>
  <si>
    <t>القضيمه</t>
  </si>
  <si>
    <t>0206-005</t>
  </si>
  <si>
    <t>الابواء</t>
  </si>
  <si>
    <t>0206-006</t>
  </si>
  <si>
    <t>مغينيه</t>
  </si>
  <si>
    <t>0207-001</t>
  </si>
  <si>
    <t>عسفان</t>
  </si>
  <si>
    <t>0207-002</t>
  </si>
  <si>
    <t>مدركه</t>
  </si>
  <si>
    <t>0207-003</t>
  </si>
  <si>
    <t>هدى الشام</t>
  </si>
  <si>
    <t>0207-004</t>
  </si>
  <si>
    <t>رهاط</t>
  </si>
  <si>
    <t>0207-005</t>
  </si>
  <si>
    <t>بني مسعود</t>
  </si>
  <si>
    <t>0207-006</t>
  </si>
  <si>
    <t>عين شمس</t>
  </si>
  <si>
    <t>0207-007</t>
  </si>
  <si>
    <t>الريان</t>
  </si>
  <si>
    <t>0207-008</t>
  </si>
  <si>
    <t>القفيف</t>
  </si>
  <si>
    <t>0208-001</t>
  </si>
  <si>
    <t>الظبيه والجمعه</t>
  </si>
  <si>
    <t>0208-002</t>
  </si>
  <si>
    <t>وادي قديد</t>
  </si>
  <si>
    <t>0208-003</t>
  </si>
  <si>
    <t>ام الجرم</t>
  </si>
  <si>
    <t>0208-004</t>
  </si>
  <si>
    <t>الخوار</t>
  </si>
  <si>
    <t>0208-005</t>
  </si>
  <si>
    <t>0208-006</t>
  </si>
  <si>
    <t>0208-007</t>
  </si>
  <si>
    <t>حشاش</t>
  </si>
  <si>
    <t>0208-008</t>
  </si>
  <si>
    <t>السهم</t>
  </si>
  <si>
    <t>0208-009</t>
  </si>
  <si>
    <t>النخيل</t>
  </si>
  <si>
    <t>0209-001</t>
  </si>
  <si>
    <t>الغريف</t>
  </si>
  <si>
    <t>0209-002</t>
  </si>
  <si>
    <t>الحرة</t>
  </si>
  <si>
    <t>approximate (governorate centre, ±53km)</t>
  </si>
  <si>
    <t>0209-003</t>
  </si>
  <si>
    <t>القعور</t>
  </si>
  <si>
    <t>0209-004</t>
  </si>
  <si>
    <t>الحنو</t>
  </si>
  <si>
    <t>0210-001</t>
  </si>
  <si>
    <t>ابومروه</t>
  </si>
  <si>
    <t>0210-002</t>
  </si>
  <si>
    <t>ظليم</t>
  </si>
  <si>
    <t>0210-003</t>
  </si>
  <si>
    <t>الخبراء</t>
  </si>
  <si>
    <t>0211-001</t>
  </si>
  <si>
    <t>حدى</t>
  </si>
  <si>
    <t>approximate (governorate centre, ±144km)</t>
  </si>
  <si>
    <t>0211-002</t>
  </si>
  <si>
    <t>العويله</t>
  </si>
  <si>
    <t>0211-003</t>
  </si>
  <si>
    <t>الاملح</t>
  </si>
  <si>
    <t>0211-004</t>
  </si>
  <si>
    <t>ورشه</t>
  </si>
  <si>
    <t>0211-005</t>
  </si>
  <si>
    <t>الغافه</t>
  </si>
  <si>
    <t>0211-006</t>
  </si>
  <si>
    <t>العفيريه</t>
  </si>
  <si>
    <t>0211-007</t>
  </si>
  <si>
    <t>خدان</t>
  </si>
  <si>
    <t>0212-001</t>
  </si>
  <si>
    <t>القوامه</t>
  </si>
  <si>
    <t>0212-002</t>
  </si>
  <si>
    <t>الحشرج</t>
  </si>
  <si>
    <t>0212-003</t>
  </si>
  <si>
    <t>شعر</t>
  </si>
  <si>
    <t>0212-004</t>
  </si>
  <si>
    <t>العصله</t>
  </si>
  <si>
    <t>0212-005</t>
  </si>
  <si>
    <t>الخضيراء</t>
  </si>
  <si>
    <t>approximate (governorate centre, ±85km)</t>
  </si>
  <si>
    <t>0212-006</t>
  </si>
  <si>
    <t>العرقين</t>
  </si>
  <si>
    <t>0212-007</t>
  </si>
  <si>
    <t>العلبه</t>
  </si>
  <si>
    <t>0212-008</t>
  </si>
  <si>
    <t>0212-009</t>
  </si>
  <si>
    <t>العلاوة</t>
  </si>
  <si>
    <t>0213-001</t>
  </si>
  <si>
    <t>الشعيبه</t>
  </si>
  <si>
    <t>0213-002</t>
  </si>
  <si>
    <t>دفاق</t>
  </si>
  <si>
    <t>0213-003</t>
  </si>
  <si>
    <t>البيضاء</t>
  </si>
  <si>
    <t>0213-004</t>
  </si>
  <si>
    <t>أم الراكه</t>
  </si>
  <si>
    <t>0214-001</t>
  </si>
  <si>
    <t>ظلم</t>
  </si>
  <si>
    <t>0214-002</t>
  </si>
  <si>
    <t>رضوان</t>
  </si>
  <si>
    <t>0214-003</t>
  </si>
  <si>
    <t>الحفر</t>
  </si>
  <si>
    <t>0214-004</t>
  </si>
  <si>
    <t>دغيبجه</t>
  </si>
  <si>
    <t>not found</t>
  </si>
  <si>
    <t>0214-005</t>
  </si>
  <si>
    <t>الراغيه</t>
  </si>
  <si>
    <t>0214-006</t>
  </si>
  <si>
    <t>مران</t>
  </si>
  <si>
    <t>0214-007</t>
  </si>
  <si>
    <t>0214-008</t>
  </si>
  <si>
    <t>الزربان</t>
  </si>
  <si>
    <t>0214-009</t>
  </si>
  <si>
    <t>مشاش الطارف</t>
  </si>
  <si>
    <t>0214-010</t>
  </si>
  <si>
    <t>0214-011</t>
  </si>
  <si>
    <t>الرويليه الصهلوج</t>
  </si>
  <si>
    <t>0214-012</t>
  </si>
  <si>
    <t>ام الدوم</t>
  </si>
  <si>
    <t>0214-013</t>
  </si>
  <si>
    <t>الركنه</t>
  </si>
  <si>
    <t>0214-014</t>
  </si>
  <si>
    <t>العوالي</t>
  </si>
  <si>
    <t>0214-015</t>
  </si>
  <si>
    <t>المزيرعه</t>
  </si>
  <si>
    <t>0214-016</t>
  </si>
  <si>
    <t>النصائف</t>
  </si>
  <si>
    <t>0214-017</t>
  </si>
  <si>
    <t>ملحه</t>
  </si>
  <si>
    <t>0215-001</t>
  </si>
  <si>
    <t>بني سعد</t>
  </si>
  <si>
    <t>0215-002</t>
  </si>
  <si>
    <t>القريع بني مالك</t>
  </si>
  <si>
    <t>0215-003</t>
  </si>
  <si>
    <t>ثقيف</t>
  </si>
  <si>
    <t>0215-004</t>
  </si>
  <si>
    <t>حداد بني مالك</t>
  </si>
  <si>
    <t>0215-005</t>
  </si>
  <si>
    <t>ابوراكه</t>
  </si>
  <si>
    <t>0215-006</t>
  </si>
  <si>
    <t>الصور</t>
  </si>
  <si>
    <t>0216-002</t>
  </si>
  <si>
    <t>العرضيه الشماليه</t>
  </si>
  <si>
    <t>approximate (governorate centre, ±44km)</t>
  </si>
  <si>
    <t>0216-003</t>
  </si>
  <si>
    <t>العرضيه الجنوبية</t>
  </si>
  <si>
    <t>0216-004</t>
  </si>
  <si>
    <t>الويد</t>
  </si>
  <si>
    <t>0217-001</t>
  </si>
  <si>
    <t>سوق العين</t>
  </si>
  <si>
    <t>0217-002</t>
  </si>
  <si>
    <t>الجائزه</t>
  </si>
  <si>
    <t>0217-003</t>
  </si>
  <si>
    <t>المرقبان</t>
  </si>
  <si>
    <t>0217-004</t>
  </si>
  <si>
    <t>حقال</t>
  </si>
  <si>
    <t>0301-001</t>
  </si>
  <si>
    <t>المليليح</t>
  </si>
  <si>
    <t>0301-002</t>
  </si>
  <si>
    <t>المندسة</t>
  </si>
  <si>
    <t>0301-003</t>
  </si>
  <si>
    <t>شجوى</t>
  </si>
  <si>
    <t>0301-004</t>
  </si>
  <si>
    <t>الفريش</t>
  </si>
  <si>
    <t>0301-005</t>
  </si>
  <si>
    <t>ابار الماشي</t>
  </si>
  <si>
    <t>0301-006</t>
  </si>
  <si>
    <t>الفقره</t>
  </si>
  <si>
    <t>0301-007</t>
  </si>
  <si>
    <t>الصويدرة</t>
  </si>
  <si>
    <t>0301-008</t>
  </si>
  <si>
    <t>0301-009</t>
  </si>
  <si>
    <t>العوينة</t>
  </si>
  <si>
    <t>0301-010</t>
  </si>
  <si>
    <t>الحار</t>
  </si>
  <si>
    <t>0301-011</t>
  </si>
  <si>
    <t>الضميريه</t>
  </si>
  <si>
    <t>0301-012</t>
  </si>
  <si>
    <t>ضعه</t>
  </si>
  <si>
    <t>0301-013</t>
  </si>
  <si>
    <t>غراب</t>
  </si>
  <si>
    <t>0301-014</t>
  </si>
  <si>
    <t>حزره</t>
  </si>
  <si>
    <t>0301-015</t>
  </si>
  <si>
    <t>المسبعة</t>
  </si>
  <si>
    <t>0301-016</t>
  </si>
  <si>
    <t>دثير</t>
  </si>
  <si>
    <t>0302-001</t>
  </si>
  <si>
    <t>ينبع النخل</t>
  </si>
  <si>
    <t>0302-002</t>
  </si>
  <si>
    <t>الجابريه</t>
  </si>
  <si>
    <t>0302-003</t>
  </si>
  <si>
    <t>تلعة نزة</t>
  </si>
  <si>
    <t>approximate (governorate centre, ±103km)</t>
  </si>
  <si>
    <t>0302-004</t>
  </si>
  <si>
    <t>رخو</t>
  </si>
  <si>
    <t>0302-005</t>
  </si>
  <si>
    <t>نبط</t>
  </si>
  <si>
    <t>0302-006</t>
  </si>
  <si>
    <t>خمال</t>
  </si>
  <si>
    <t>0302-007</t>
  </si>
  <si>
    <t>السليم</t>
  </si>
  <si>
    <t>0302-008</t>
  </si>
  <si>
    <t>الفقعلي</t>
  </si>
  <si>
    <t>0302-009</t>
  </si>
  <si>
    <t>النبات</t>
  </si>
  <si>
    <t>0302-010</t>
  </si>
  <si>
    <t>الهيم</t>
  </si>
  <si>
    <t>0302-011</t>
  </si>
  <si>
    <t>الشرجة</t>
  </si>
  <si>
    <t>0303-001</t>
  </si>
  <si>
    <t>0303-002</t>
  </si>
  <si>
    <t>الحجر</t>
  </si>
  <si>
    <t>0303-003</t>
  </si>
  <si>
    <t>العذيب</t>
  </si>
  <si>
    <t>0303-004</t>
  </si>
  <si>
    <t>شلال</t>
  </si>
  <si>
    <t>0303-005</t>
  </si>
  <si>
    <t>البريكه</t>
  </si>
  <si>
    <t>approximate (governorate centre, ±134km)</t>
  </si>
  <si>
    <t>0303-006</t>
  </si>
  <si>
    <t>النجيل</t>
  </si>
  <si>
    <t>0303-007</t>
  </si>
  <si>
    <t>الورد</t>
  </si>
  <si>
    <t>0303-008</t>
  </si>
  <si>
    <t>فضلا</t>
  </si>
  <si>
    <t>0303-009</t>
  </si>
  <si>
    <t>العين الجديده</t>
  </si>
  <si>
    <t>0303-010</t>
  </si>
  <si>
    <t>الجديده</t>
  </si>
  <si>
    <t>0303-011</t>
  </si>
  <si>
    <t>بئر الأراك</t>
  </si>
  <si>
    <t>0303-012</t>
  </si>
  <si>
    <t>وقير</t>
  </si>
  <si>
    <t>0304-001</t>
  </si>
  <si>
    <t>السويرقيه</t>
  </si>
  <si>
    <t>0304-002</t>
  </si>
  <si>
    <t>ارن</t>
  </si>
  <si>
    <t>0304-003</t>
  </si>
  <si>
    <t>صفينه</t>
  </si>
  <si>
    <t>0304-004</t>
  </si>
  <si>
    <t>ثرب</t>
  </si>
  <si>
    <t>0304-005</t>
  </si>
  <si>
    <t>0304-006</t>
  </si>
  <si>
    <t>حاذه</t>
  </si>
  <si>
    <t>0304-007</t>
  </si>
  <si>
    <t>0304-008</t>
  </si>
  <si>
    <t>الاصيحر</t>
  </si>
  <si>
    <t>0304-009</t>
  </si>
  <si>
    <t>المويهيه</t>
  </si>
  <si>
    <t>0304-010</t>
  </si>
  <si>
    <t>الصعبيه</t>
  </si>
  <si>
    <t>0304-011</t>
  </si>
  <si>
    <t>هباء</t>
  </si>
  <si>
    <t>0304-012</t>
  </si>
  <si>
    <t>0304-013</t>
  </si>
  <si>
    <t>الهراره</t>
  </si>
  <si>
    <t>0304-014</t>
  </si>
  <si>
    <t>السريحية</t>
  </si>
  <si>
    <t>0304-015</t>
  </si>
  <si>
    <t>الرويضة</t>
  </si>
  <si>
    <t>0304-016</t>
  </si>
  <si>
    <t>الركنة</t>
  </si>
  <si>
    <t>0304-017</t>
  </si>
  <si>
    <t>الجياسر</t>
  </si>
  <si>
    <t>0304-018</t>
  </si>
  <si>
    <t>رشيدة</t>
  </si>
  <si>
    <t>0305-001</t>
  </si>
  <si>
    <t>المسيجيد</t>
  </si>
  <si>
    <t>0305-002</t>
  </si>
  <si>
    <t>الواسطه</t>
  </si>
  <si>
    <t>0305-003</t>
  </si>
  <si>
    <t>القاحه</t>
  </si>
  <si>
    <t>0305-004</t>
  </si>
  <si>
    <t>الرايس</t>
  </si>
  <si>
    <t>0305-005</t>
  </si>
  <si>
    <t>بئر الروحاء</t>
  </si>
  <si>
    <t>0305-006</t>
  </si>
  <si>
    <t>الشفيه</t>
  </si>
  <si>
    <t>0305-007</t>
  </si>
  <si>
    <t>السديرة</t>
  </si>
  <si>
    <t>0305-008</t>
  </si>
  <si>
    <t>طاشا</t>
  </si>
  <si>
    <t>0306-001</t>
  </si>
  <si>
    <t>العشاش</t>
  </si>
  <si>
    <t>0306-002</t>
  </si>
  <si>
    <t>الصلصله</t>
  </si>
  <si>
    <t>0306-003</t>
  </si>
  <si>
    <t>العيينه</t>
  </si>
  <si>
    <t>0306-004</t>
  </si>
  <si>
    <t>عشرة</t>
  </si>
  <si>
    <t>0306-005</t>
  </si>
  <si>
    <t>الحفيرة</t>
  </si>
  <si>
    <t>0306-006</t>
  </si>
  <si>
    <t>الثمد</t>
  </si>
  <si>
    <t>0306-007</t>
  </si>
  <si>
    <t>جدعاء</t>
  </si>
  <si>
    <t>0306-008</t>
  </si>
  <si>
    <t>اللحن</t>
  </si>
  <si>
    <t>0306-009</t>
  </si>
  <si>
    <t>العرايد</t>
  </si>
  <si>
    <t>0307-001</t>
  </si>
  <si>
    <t>الحسو</t>
  </si>
  <si>
    <t>0307-002</t>
  </si>
  <si>
    <t>0307-003</t>
  </si>
  <si>
    <t>0307-004</t>
  </si>
  <si>
    <t>طلال</t>
  </si>
  <si>
    <t>0307-005</t>
  </si>
  <si>
    <t>الهميج</t>
  </si>
  <si>
    <t>0307-006</t>
  </si>
  <si>
    <t>هدبان</t>
  </si>
  <si>
    <t>0307-007</t>
  </si>
  <si>
    <t>بلغه</t>
  </si>
  <si>
    <t>0307-008</t>
  </si>
  <si>
    <t>صخيبره</t>
  </si>
  <si>
    <t>0307-009</t>
  </si>
  <si>
    <t>الشقران</t>
  </si>
  <si>
    <t>0307-010</t>
  </si>
  <si>
    <t>بطحي</t>
  </si>
  <si>
    <t>0308-001</t>
  </si>
  <si>
    <t>اليتمة</t>
  </si>
  <si>
    <t>0308-002</t>
  </si>
  <si>
    <t>الاكحل</t>
  </si>
  <si>
    <t>0308-003</t>
  </si>
  <si>
    <t>ابو ضباع</t>
  </si>
  <si>
    <t>0308-004</t>
  </si>
  <si>
    <t>الهنديه</t>
  </si>
  <si>
    <t>0308-005</t>
  </si>
  <si>
    <t>الحمنه</t>
  </si>
  <si>
    <t>0308-006</t>
  </si>
  <si>
    <t>أم البرك</t>
  </si>
  <si>
    <t>0308-007</t>
  </si>
  <si>
    <t>صوري</t>
  </si>
  <si>
    <t>0308-008</t>
  </si>
  <si>
    <t>المغيسل</t>
  </si>
  <si>
    <t>0309-001</t>
  </si>
  <si>
    <t>سليلة جهينه</t>
  </si>
  <si>
    <t>0309-002</t>
  </si>
  <si>
    <t>المربع</t>
  </si>
  <si>
    <t>0309-003</t>
  </si>
  <si>
    <t>جراجر</t>
  </si>
  <si>
    <t>0309-004</t>
  </si>
  <si>
    <t>المرامية</t>
  </si>
  <si>
    <t>0309-005</t>
  </si>
  <si>
    <t>اميره</t>
  </si>
  <si>
    <t>approximate (governorate centre, ±96km)</t>
  </si>
  <si>
    <t>0309-006</t>
  </si>
  <si>
    <t>الهجر الثلاث</t>
  </si>
  <si>
    <t>0309-007</t>
  </si>
  <si>
    <t>السليله</t>
  </si>
  <si>
    <t>0309-008</t>
  </si>
  <si>
    <t>الابرق</t>
  </si>
  <si>
    <t>0309-009</t>
  </si>
  <si>
    <t>البديع</t>
  </si>
  <si>
    <t>0309-010</t>
  </si>
  <si>
    <t>المثلث</t>
  </si>
  <si>
    <t>0401-001</t>
  </si>
  <si>
    <t>الشقة</t>
  </si>
  <si>
    <t>0401-002</t>
  </si>
  <si>
    <t>البصر</t>
  </si>
  <si>
    <t>0401-003</t>
  </si>
  <si>
    <t>البطين</t>
  </si>
  <si>
    <t>0401-004</t>
  </si>
  <si>
    <t>الفواره</t>
  </si>
  <si>
    <t>0401-005</t>
  </si>
  <si>
    <t>القرعاء</t>
  </si>
  <si>
    <t>0401-006</t>
  </si>
  <si>
    <t>الطرفيه الشرقيه</t>
  </si>
  <si>
    <t>approximate (governorate centre, ±180km)</t>
  </si>
  <si>
    <t>0401-007</t>
  </si>
  <si>
    <t>قصيباء</t>
  </si>
  <si>
    <t>0401-008</t>
  </si>
  <si>
    <t>المدرج</t>
  </si>
  <si>
    <t>0401-009</t>
  </si>
  <si>
    <t>محير الترمس</t>
  </si>
  <si>
    <t>0401-010</t>
  </si>
  <si>
    <t>شرى</t>
  </si>
  <si>
    <t>0401-011</t>
  </si>
  <si>
    <t>الشبيكيه</t>
  </si>
  <si>
    <t>0401-012</t>
  </si>
  <si>
    <t>الخشيبى</t>
  </si>
  <si>
    <t>0401-013</t>
  </si>
  <si>
    <t>الربيعيه</t>
  </si>
  <si>
    <t>0401-014</t>
  </si>
  <si>
    <t>الدعيسه</t>
  </si>
  <si>
    <t>0401-015</t>
  </si>
  <si>
    <t>المليداء</t>
  </si>
  <si>
    <t>0401-016</t>
  </si>
  <si>
    <t>الغماس</t>
  </si>
  <si>
    <t>0401-017</t>
  </si>
  <si>
    <t>خب روضان</t>
  </si>
  <si>
    <t>0401-018</t>
  </si>
  <si>
    <t>ضراس</t>
  </si>
  <si>
    <t>0401-019</t>
  </si>
  <si>
    <t>طلحة</t>
  </si>
  <si>
    <t>0401-020</t>
  </si>
  <si>
    <t>قصر بن عقيل</t>
  </si>
  <si>
    <t>0401-021</t>
  </si>
  <si>
    <t>الثامريه</t>
  </si>
  <si>
    <t>0401-022</t>
  </si>
  <si>
    <t>0401-023</t>
  </si>
  <si>
    <t>القواره</t>
  </si>
  <si>
    <t>0401-024</t>
  </si>
  <si>
    <t>0401-025</t>
  </si>
  <si>
    <t>0401-026</t>
  </si>
  <si>
    <t>الدليميه</t>
  </si>
  <si>
    <t>0401-027</t>
  </si>
  <si>
    <t>الذيبيه</t>
  </si>
  <si>
    <t>0402-001</t>
  </si>
  <si>
    <t>الروغانى</t>
  </si>
  <si>
    <t>0402-002</t>
  </si>
  <si>
    <t>وادى الجناح</t>
  </si>
  <si>
    <t>approximate (governorate centre, ±42km)</t>
  </si>
  <si>
    <t>0402-003</t>
  </si>
  <si>
    <t>وادي ابوعلي</t>
  </si>
  <si>
    <t>0402-004</t>
  </si>
  <si>
    <t>العوشزيه</t>
  </si>
  <si>
    <t>0403-001</t>
  </si>
  <si>
    <t>دخنه</t>
  </si>
  <si>
    <t>0403-002</t>
  </si>
  <si>
    <t>الخريشاء</t>
  </si>
  <si>
    <t>0403-003</t>
  </si>
  <si>
    <t>الدحله</t>
  </si>
  <si>
    <t>0403-004</t>
  </si>
  <si>
    <t>الشنانه</t>
  </si>
  <si>
    <t>0403-005</t>
  </si>
  <si>
    <t>المطيه</t>
  </si>
  <si>
    <t>0403-006</t>
  </si>
  <si>
    <t>الغيدانيه</t>
  </si>
  <si>
    <t>approximate (governorate centre, ±52km)</t>
  </si>
  <si>
    <t>0404-001</t>
  </si>
  <si>
    <t>روضه الحسو</t>
  </si>
  <si>
    <t>0404-002</t>
  </si>
  <si>
    <t>0404-003</t>
  </si>
  <si>
    <t>الخرماء</t>
  </si>
  <si>
    <t>0404-004</t>
  </si>
  <si>
    <t>الخرماءالشماليه</t>
  </si>
  <si>
    <t>0404-005</t>
  </si>
  <si>
    <t>ساموده</t>
  </si>
  <si>
    <t>0404-006</t>
  </si>
  <si>
    <t>ربيق</t>
  </si>
  <si>
    <t>0404-007</t>
  </si>
  <si>
    <t>الملقاء</t>
  </si>
  <si>
    <t>0405-001</t>
  </si>
  <si>
    <t>الهلاليه</t>
  </si>
  <si>
    <t>0405-002</t>
  </si>
  <si>
    <t>الشيحيه</t>
  </si>
  <si>
    <t>0405-003</t>
  </si>
  <si>
    <t>0405-004</t>
  </si>
  <si>
    <t>كحله</t>
  </si>
  <si>
    <t>0405-005</t>
  </si>
  <si>
    <t>الضلفعه</t>
  </si>
  <si>
    <t>0405-006</t>
  </si>
  <si>
    <t>الارطاوى</t>
  </si>
  <si>
    <t>0405-007</t>
  </si>
  <si>
    <t>مشاش جرود</t>
  </si>
  <si>
    <t>0405-008</t>
  </si>
  <si>
    <t>الفيضه</t>
  </si>
  <si>
    <t>0405-009</t>
  </si>
  <si>
    <t>النجبة</t>
  </si>
  <si>
    <t>0405-010</t>
  </si>
  <si>
    <t>ساق</t>
  </si>
  <si>
    <t>0406-001</t>
  </si>
  <si>
    <t>الأبرق</t>
  </si>
  <si>
    <t>0406-002</t>
  </si>
  <si>
    <t>دهيماء</t>
  </si>
  <si>
    <t>0406-003</t>
  </si>
  <si>
    <t>علباء</t>
  </si>
  <si>
    <t>0406-004</t>
  </si>
  <si>
    <t>الاحمدية</t>
  </si>
  <si>
    <t>0407-001</t>
  </si>
  <si>
    <t>خصيبه</t>
  </si>
  <si>
    <t>0407-002</t>
  </si>
  <si>
    <t>ابا الورود</t>
  </si>
  <si>
    <t>0407-003</t>
  </si>
  <si>
    <t>ضيده</t>
  </si>
  <si>
    <t>0407-004</t>
  </si>
  <si>
    <t>حنيظل</t>
  </si>
  <si>
    <t>0407-005</t>
  </si>
  <si>
    <t>طريف الاسياح</t>
  </si>
  <si>
    <t>0407-006</t>
  </si>
  <si>
    <t>0407-007</t>
  </si>
  <si>
    <t>التنومه</t>
  </si>
  <si>
    <t>0407-008</t>
  </si>
  <si>
    <t>الجعله</t>
  </si>
  <si>
    <t>0407-009</t>
  </si>
  <si>
    <t>البندريه</t>
  </si>
  <si>
    <t>0407-010</t>
  </si>
  <si>
    <t>البعيث</t>
  </si>
  <si>
    <t>approximate (governorate centre, ±118km)</t>
  </si>
  <si>
    <t>0407-011</t>
  </si>
  <si>
    <t>قبه</t>
  </si>
  <si>
    <t>0408-001</t>
  </si>
  <si>
    <t>ثادج</t>
  </si>
  <si>
    <t>0408-002</t>
  </si>
  <si>
    <t>ابانات</t>
  </si>
  <si>
    <t>0408-003</t>
  </si>
  <si>
    <t>اللغفيه</t>
  </si>
  <si>
    <t>0408-004</t>
  </si>
  <si>
    <t>القيصومه</t>
  </si>
  <si>
    <t>0408-005</t>
  </si>
  <si>
    <t>البتراء</t>
  </si>
  <si>
    <t>0408-006</t>
  </si>
  <si>
    <t>0408-007</t>
  </si>
  <si>
    <t>عطاء</t>
  </si>
  <si>
    <t>0408-008</t>
  </si>
  <si>
    <t>عطي</t>
  </si>
  <si>
    <t>0408-009</t>
  </si>
  <si>
    <t>الهمجه</t>
  </si>
  <si>
    <t>0408-010</t>
  </si>
  <si>
    <t>خضراء</t>
  </si>
  <si>
    <t>0408-011</t>
  </si>
  <si>
    <t>الحنينيه</t>
  </si>
  <si>
    <t>0408-012</t>
  </si>
  <si>
    <t>المرموثه</t>
  </si>
  <si>
    <t>0408-013</t>
  </si>
  <si>
    <t>الزهيريه</t>
  </si>
  <si>
    <t>0408-014</t>
  </si>
  <si>
    <t>الصليبى</t>
  </si>
  <si>
    <t>0408-015</t>
  </si>
  <si>
    <t>الجرذاويه</t>
  </si>
  <si>
    <t>0408-016</t>
  </si>
  <si>
    <t>0408-017</t>
  </si>
  <si>
    <t>رفايع اللهيب</t>
  </si>
  <si>
    <t>0408-018</t>
  </si>
  <si>
    <t>الخطيم</t>
  </si>
  <si>
    <t>0408-019</t>
  </si>
  <si>
    <t>مطربه</t>
  </si>
  <si>
    <t>0408-020</t>
  </si>
  <si>
    <t>البصيرى</t>
  </si>
  <si>
    <t>0408-021</t>
  </si>
  <si>
    <t>البعجاء</t>
  </si>
  <si>
    <t>0408-022</t>
  </si>
  <si>
    <t>البديعه</t>
  </si>
  <si>
    <t>0408-023</t>
  </si>
  <si>
    <t>عريفجان ساحوق</t>
  </si>
  <si>
    <t>0408-024</t>
  </si>
  <si>
    <t>الطرفية الغربيه</t>
  </si>
  <si>
    <t>0408-025</t>
  </si>
  <si>
    <t>الغضياء والسلمات</t>
  </si>
  <si>
    <t>0408-026</t>
  </si>
  <si>
    <t>فياضه</t>
  </si>
  <si>
    <t>0408-027</t>
  </si>
  <si>
    <t>مظيفير</t>
  </si>
  <si>
    <t>0408-028</t>
  </si>
  <si>
    <t>وادي النخيل</t>
  </si>
  <si>
    <t>0408-029</t>
  </si>
  <si>
    <t>رفايع الحميمه</t>
  </si>
  <si>
    <t>approximate (governorate centre, ±88km)</t>
  </si>
  <si>
    <t>0408-030</t>
  </si>
  <si>
    <t>رفايع الحجره</t>
  </si>
  <si>
    <t>0408-031</t>
  </si>
  <si>
    <t>الأفيهد</t>
  </si>
  <si>
    <t>0408-032</t>
  </si>
  <si>
    <t>دوبح</t>
  </si>
  <si>
    <t>0409-001</t>
  </si>
  <si>
    <t>الصلبيه</t>
  </si>
  <si>
    <t>approximate (governorate centre, ±61km)</t>
  </si>
  <si>
    <t>0409-002</t>
  </si>
  <si>
    <t>غاف الجواء</t>
  </si>
  <si>
    <t>0409-003</t>
  </si>
  <si>
    <t>اوثال</t>
  </si>
  <si>
    <t>0409-004</t>
  </si>
  <si>
    <t>الطراق</t>
  </si>
  <si>
    <t>0409-005</t>
  </si>
  <si>
    <t>كبد</t>
  </si>
  <si>
    <t>0409-006</t>
  </si>
  <si>
    <t>روض الجواء</t>
  </si>
  <si>
    <t>0409-007</t>
  </si>
  <si>
    <t>المخرم</t>
  </si>
  <si>
    <t>0409-008</t>
  </si>
  <si>
    <t>الكدادية</t>
  </si>
  <si>
    <t>0410-001</t>
  </si>
  <si>
    <t>المطيوى الشمالى</t>
  </si>
  <si>
    <t>0410-002</t>
  </si>
  <si>
    <t>النمريه</t>
  </si>
  <si>
    <t>0410-003</t>
  </si>
  <si>
    <t>السيح والحجازيه</t>
  </si>
  <si>
    <t>approximate (governorate centre, ±82km)</t>
  </si>
  <si>
    <t>0410-004</t>
  </si>
  <si>
    <t>صبيح</t>
  </si>
  <si>
    <t>0411-001</t>
  </si>
  <si>
    <t>ام حزم</t>
  </si>
  <si>
    <t>0411-002</t>
  </si>
  <si>
    <t>النبقيه</t>
  </si>
  <si>
    <t>0412-001</t>
  </si>
  <si>
    <t>الجفن</t>
  </si>
  <si>
    <t>0412-002</t>
  </si>
  <si>
    <t>الطرفاوى</t>
  </si>
  <si>
    <t>0412-003</t>
  </si>
  <si>
    <t>قطن</t>
  </si>
  <si>
    <t>0412-004</t>
  </si>
  <si>
    <t>امباري</t>
  </si>
  <si>
    <t>0412-005</t>
  </si>
  <si>
    <t>المحلانى</t>
  </si>
  <si>
    <t>0412-006</t>
  </si>
  <si>
    <t>ذوقان الركايا</t>
  </si>
  <si>
    <t>0412-007</t>
  </si>
  <si>
    <t>فيضه ذيبان</t>
  </si>
  <si>
    <t>0412-008</t>
  </si>
  <si>
    <t>الحيسونية</t>
  </si>
  <si>
    <t>0412-009</t>
  </si>
  <si>
    <t>النقره</t>
  </si>
  <si>
    <t>0412-010</t>
  </si>
  <si>
    <t>الهميليه</t>
  </si>
  <si>
    <t>0412-011</t>
  </si>
  <si>
    <t>العماير</t>
  </si>
  <si>
    <t>approximate (governorate centre, ±100km)</t>
  </si>
  <si>
    <t>0412-012</t>
  </si>
  <si>
    <t>شقران الحاجر</t>
  </si>
  <si>
    <t>0412-013</t>
  </si>
  <si>
    <t>0413-001</t>
  </si>
  <si>
    <t>مسكه</t>
  </si>
  <si>
    <t>0413-002</t>
  </si>
  <si>
    <t>الصمعوريه</t>
  </si>
  <si>
    <t>0413-003</t>
  </si>
  <si>
    <t>سلام</t>
  </si>
  <si>
    <t>0413-004</t>
  </si>
  <si>
    <t>المطيوى الجنوبي</t>
  </si>
  <si>
    <t>0413-005</t>
  </si>
  <si>
    <t>بقيعاء الجنوبيه</t>
  </si>
  <si>
    <t>0413-006</t>
  </si>
  <si>
    <t>بدائع الضبطان</t>
  </si>
  <si>
    <t>0413-007</t>
  </si>
  <si>
    <t>العاقر</t>
  </si>
  <si>
    <t>0413-008</t>
  </si>
  <si>
    <t>الظاهريه</t>
  </si>
  <si>
    <t>0413-009</t>
  </si>
  <si>
    <t>هرموله</t>
  </si>
  <si>
    <t>0413-010</t>
  </si>
  <si>
    <t>فيضه الريشيه</t>
  </si>
  <si>
    <t>0413-011</t>
  </si>
  <si>
    <t>ليم</t>
  </si>
  <si>
    <t>0413-012</t>
  </si>
  <si>
    <t>0413-013</t>
  </si>
  <si>
    <t>صعينين</t>
  </si>
  <si>
    <t>0501-001</t>
  </si>
  <si>
    <t>سحمه</t>
  </si>
  <si>
    <t>0501-002</t>
  </si>
  <si>
    <t>ذاعبلوتن</t>
  </si>
  <si>
    <t>0501-003</t>
  </si>
  <si>
    <t>الظهران</t>
  </si>
  <si>
    <t>0502-001</t>
  </si>
  <si>
    <t>جوده</t>
  </si>
  <si>
    <t>0502-002</t>
  </si>
  <si>
    <t>عريعره</t>
  </si>
  <si>
    <t>0502-003</t>
  </si>
  <si>
    <t>يبرين</t>
  </si>
  <si>
    <t>0502-004</t>
  </si>
  <si>
    <t>الخن</t>
  </si>
  <si>
    <t>0502-005</t>
  </si>
  <si>
    <t>0502-006</t>
  </si>
  <si>
    <t>الغويبه</t>
  </si>
  <si>
    <t>0502-007</t>
  </si>
  <si>
    <t>ام ربيعه</t>
  </si>
  <si>
    <t>0502-008</t>
  </si>
  <si>
    <t>ام اثله</t>
  </si>
  <si>
    <t>0502-009</t>
  </si>
  <si>
    <t>العيون</t>
  </si>
  <si>
    <t>0502-010</t>
  </si>
  <si>
    <t>العضيليه</t>
  </si>
  <si>
    <t>0502-011</t>
  </si>
  <si>
    <t>حرض</t>
  </si>
  <si>
    <t>0502-012</t>
  </si>
  <si>
    <t>خريص</t>
  </si>
  <si>
    <t>0502-013</t>
  </si>
  <si>
    <t>فضيله</t>
  </si>
  <si>
    <t>0502-014</t>
  </si>
  <si>
    <t>الزايدية</t>
  </si>
  <si>
    <t>approximate (governorate centre, ±464km)</t>
  </si>
  <si>
    <t>0502-015</t>
  </si>
  <si>
    <t>ام العراد</t>
  </si>
  <si>
    <t>0502-016</t>
  </si>
  <si>
    <t>هجرة السيح</t>
  </si>
  <si>
    <t>0502-017</t>
  </si>
  <si>
    <t>الطويلة</t>
  </si>
  <si>
    <t>0502-018</t>
  </si>
  <si>
    <t>شجعة</t>
  </si>
  <si>
    <t>0502-019</t>
  </si>
  <si>
    <t>مريطبه</t>
  </si>
  <si>
    <t>0502-020</t>
  </si>
  <si>
    <t>العقير</t>
  </si>
  <si>
    <t>0502-021</t>
  </si>
  <si>
    <t>الدهو</t>
  </si>
  <si>
    <t>0502-022</t>
  </si>
  <si>
    <t>السالمية</t>
  </si>
  <si>
    <t>0503-001</t>
  </si>
  <si>
    <t>0503-002</t>
  </si>
  <si>
    <t>القلت</t>
  </si>
  <si>
    <t>0503-003</t>
  </si>
  <si>
    <t>المتياهه الجنوبيه</t>
  </si>
  <si>
    <t>approximate (governorate centre, ±192km)</t>
  </si>
  <si>
    <t>0503-004</t>
  </si>
  <si>
    <t>الرقعى</t>
  </si>
  <si>
    <t>0503-005</t>
  </si>
  <si>
    <t>الصداوى</t>
  </si>
  <si>
    <t>0503-006</t>
  </si>
  <si>
    <t>النظيم</t>
  </si>
  <si>
    <t>0503-007</t>
  </si>
  <si>
    <t>ام قليب</t>
  </si>
  <si>
    <t>0503-008</t>
  </si>
  <si>
    <t>0503-009</t>
  </si>
  <si>
    <t>السعيره</t>
  </si>
  <si>
    <t>0503-010</t>
  </si>
  <si>
    <t>الحماطيات</t>
  </si>
  <si>
    <t>0503-011</t>
  </si>
  <si>
    <t>0503-012</t>
  </si>
  <si>
    <t>الصفيرى</t>
  </si>
  <si>
    <t>0503-013</t>
  </si>
  <si>
    <t>0503-014</t>
  </si>
  <si>
    <t>هجرة ام عشر</t>
  </si>
  <si>
    <t>0503-015</t>
  </si>
  <si>
    <t>الفاو الشمالي</t>
  </si>
  <si>
    <t>0503-016</t>
  </si>
  <si>
    <t>0511-001</t>
  </si>
  <si>
    <t>ام كداد</t>
  </si>
  <si>
    <t>0511-002</t>
  </si>
  <si>
    <t>مناخ</t>
  </si>
  <si>
    <t>0511-003</t>
  </si>
  <si>
    <t>الحيرا</t>
  </si>
  <si>
    <t>0511-004</t>
  </si>
  <si>
    <t>معرج السوبان</t>
  </si>
  <si>
    <t>0511-005</t>
  </si>
  <si>
    <t>خبيراء</t>
  </si>
  <si>
    <t>0504-001</t>
  </si>
  <si>
    <t>جو سمين</t>
  </si>
  <si>
    <t>0504-002</t>
  </si>
  <si>
    <t>جزيرة جنه</t>
  </si>
  <si>
    <t>0504-003</t>
  </si>
  <si>
    <t>أبو حدرية</t>
  </si>
  <si>
    <t>0505-001</t>
  </si>
  <si>
    <t>سيهات</t>
  </si>
  <si>
    <t>0505-002</t>
  </si>
  <si>
    <t>صفوى</t>
  </si>
  <si>
    <t>0505-003</t>
  </si>
  <si>
    <t>النابيه</t>
  </si>
  <si>
    <t>0505-004</t>
  </si>
  <si>
    <t>أم السهاك</t>
  </si>
  <si>
    <t>approximate (governorate centre, ±25km)</t>
  </si>
  <si>
    <t>0506-001</t>
  </si>
  <si>
    <t>جسر الملك فهد</t>
  </si>
  <si>
    <t>0507-001</t>
  </si>
  <si>
    <t>السفانيه</t>
  </si>
  <si>
    <t>0507-002</t>
  </si>
  <si>
    <t>ابرق الكبريت</t>
  </si>
  <si>
    <t>0509-001</t>
  </si>
  <si>
    <t>يكرب</t>
  </si>
  <si>
    <t>0509-002</t>
  </si>
  <si>
    <t>عين دار الجديده</t>
  </si>
  <si>
    <t>0509-003</t>
  </si>
  <si>
    <t>الراجحه</t>
  </si>
  <si>
    <t>0509-004</t>
  </si>
  <si>
    <t>فوده</t>
  </si>
  <si>
    <t>0509-005</t>
  </si>
  <si>
    <t>بلده عين دار البلده</t>
  </si>
  <si>
    <t>0509-006</t>
  </si>
  <si>
    <t>الدغيميه</t>
  </si>
  <si>
    <t>0509-007</t>
  </si>
  <si>
    <t>صلاصل</t>
  </si>
  <si>
    <t>0509-008</t>
  </si>
  <si>
    <t>الفردانيه</t>
  </si>
  <si>
    <t>0509-009</t>
  </si>
  <si>
    <t>خور الذيابه</t>
  </si>
  <si>
    <t>0509-010</t>
  </si>
  <si>
    <t>الجيشية</t>
  </si>
  <si>
    <t>0510-001</t>
  </si>
  <si>
    <t>الصرار</t>
  </si>
  <si>
    <t>0510-002</t>
  </si>
  <si>
    <t>مليجه</t>
  </si>
  <si>
    <t>0510-003</t>
  </si>
  <si>
    <t>حنيذ</t>
  </si>
  <si>
    <t>0510-004</t>
  </si>
  <si>
    <t>القليب</t>
  </si>
  <si>
    <t>0510-005</t>
  </si>
  <si>
    <t>عتيق</t>
  </si>
  <si>
    <t>0510-006</t>
  </si>
  <si>
    <t>الكهفه</t>
  </si>
  <si>
    <t>0510-007</t>
  </si>
  <si>
    <t>الحسى</t>
  </si>
  <si>
    <t>0510-008</t>
  </si>
  <si>
    <t>الصحاف</t>
  </si>
  <si>
    <t>0510-009</t>
  </si>
  <si>
    <t>ثاج</t>
  </si>
  <si>
    <t>0510-010</t>
  </si>
  <si>
    <t>الونان</t>
  </si>
  <si>
    <t>0510-011</t>
  </si>
  <si>
    <t>0510-012</t>
  </si>
  <si>
    <t>الزغين</t>
  </si>
  <si>
    <t>0510-013</t>
  </si>
  <si>
    <t>نطاع</t>
  </si>
  <si>
    <t>0510-014</t>
  </si>
  <si>
    <t>السليمانية</t>
  </si>
  <si>
    <t>approximate (governorate centre, ±129km)</t>
  </si>
  <si>
    <t>0510-015</t>
  </si>
  <si>
    <t>النقيرة</t>
  </si>
  <si>
    <t>0510-016</t>
  </si>
  <si>
    <t>الهليسيه</t>
  </si>
  <si>
    <t>0510-017</t>
  </si>
  <si>
    <t>شفيه</t>
  </si>
  <si>
    <t>0510-018</t>
  </si>
  <si>
    <t>مغطى</t>
  </si>
  <si>
    <t>0510-019</t>
  </si>
  <si>
    <t>أم السواد</t>
  </si>
  <si>
    <t>0510-020</t>
  </si>
  <si>
    <t>الحناه</t>
  </si>
  <si>
    <t>0510-021</t>
  </si>
  <si>
    <t>المليحه</t>
  </si>
  <si>
    <t>0510-022</t>
  </si>
  <si>
    <t>غنوى</t>
  </si>
  <si>
    <t>0510-023</t>
  </si>
  <si>
    <t>أبو مريكة</t>
  </si>
  <si>
    <t>0510-024</t>
  </si>
  <si>
    <t>عرج</t>
  </si>
  <si>
    <t>0511-006</t>
  </si>
  <si>
    <t>0511-007</t>
  </si>
  <si>
    <t>اللهابه</t>
  </si>
  <si>
    <t>0511-008</t>
  </si>
  <si>
    <t>الشيط</t>
  </si>
  <si>
    <t>0511-009</t>
  </si>
  <si>
    <t>مشله</t>
  </si>
  <si>
    <t>0511-010</t>
  </si>
  <si>
    <t>0511-011</t>
  </si>
  <si>
    <t>0511-012</t>
  </si>
  <si>
    <t>الفريده</t>
  </si>
  <si>
    <t>0511-013</t>
  </si>
  <si>
    <t>0511-014</t>
  </si>
  <si>
    <t>اللصافه</t>
  </si>
  <si>
    <t>0511-015</t>
  </si>
  <si>
    <t>أم الشفلح</t>
  </si>
  <si>
    <t>0511-016</t>
  </si>
  <si>
    <t>ام عقلا</t>
  </si>
  <si>
    <t>0511-017</t>
  </si>
  <si>
    <t>رديفة القرعاء</t>
  </si>
  <si>
    <t>0511-018</t>
  </si>
  <si>
    <t>ام غور</t>
  </si>
  <si>
    <t>0511-019</t>
  </si>
  <si>
    <t>المحوى</t>
  </si>
  <si>
    <t>0511-020</t>
  </si>
  <si>
    <t>0511-021</t>
  </si>
  <si>
    <t>البويبيات</t>
  </si>
  <si>
    <t>0512-001</t>
  </si>
  <si>
    <t>انباك</t>
  </si>
  <si>
    <t>0512-002</t>
  </si>
  <si>
    <t>سلوى</t>
  </si>
  <si>
    <t>0512-003</t>
  </si>
  <si>
    <t>البطحاء</t>
  </si>
  <si>
    <t>0512-004</t>
  </si>
  <si>
    <t>وسيع</t>
  </si>
  <si>
    <t>0512-005</t>
  </si>
  <si>
    <t>عرده</t>
  </si>
  <si>
    <t>0601-001</t>
  </si>
  <si>
    <t>السوده</t>
  </si>
  <si>
    <t>0601-002</t>
  </si>
  <si>
    <t>بللحمر</t>
  </si>
  <si>
    <t>0601-003</t>
  </si>
  <si>
    <t>الشعف</t>
  </si>
  <si>
    <t>approximate (governorate centre, ±159km)</t>
  </si>
  <si>
    <t>0601-004</t>
  </si>
  <si>
    <t>مربة</t>
  </si>
  <si>
    <t>0601-005</t>
  </si>
  <si>
    <t>طبب</t>
  </si>
  <si>
    <t>0601-006</t>
  </si>
  <si>
    <t>بللسمر</t>
  </si>
  <si>
    <t>0601-007</t>
  </si>
  <si>
    <t>الربوعه</t>
  </si>
  <si>
    <t>0601-008</t>
  </si>
  <si>
    <t>تمنية</t>
  </si>
  <si>
    <t>0601-009</t>
  </si>
  <si>
    <t>الماوين</t>
  </si>
  <si>
    <t>0601-010</t>
  </si>
  <si>
    <t>القحمه</t>
  </si>
  <si>
    <t>0601-011</t>
  </si>
  <si>
    <t>صدر وائلة</t>
  </si>
  <si>
    <t>0601-012</t>
  </si>
  <si>
    <t>بيحان</t>
  </si>
  <si>
    <t>0601-013</t>
  </si>
  <si>
    <t>الأثب</t>
  </si>
  <si>
    <t>0601-014</t>
  </si>
  <si>
    <t>حوراء بللسمر</t>
  </si>
  <si>
    <t>0601-015</t>
  </si>
  <si>
    <t>الجهيفة</t>
  </si>
  <si>
    <t>0601-016</t>
  </si>
  <si>
    <t>تضراع</t>
  </si>
  <si>
    <t>0601-017</t>
  </si>
  <si>
    <t>ردوم</t>
  </si>
  <si>
    <t>0601-018</t>
  </si>
  <si>
    <t>العرين</t>
  </si>
  <si>
    <t>0602-001</t>
  </si>
  <si>
    <t>تندحه</t>
  </si>
  <si>
    <t>0602-002</t>
  </si>
  <si>
    <t>وادى بن هشبل</t>
  </si>
  <si>
    <t>0602-003</t>
  </si>
  <si>
    <t>يعرى</t>
  </si>
  <si>
    <t>0602-004</t>
  </si>
  <si>
    <t>خيبر الجنوب</t>
  </si>
  <si>
    <t>0602-005</t>
  </si>
  <si>
    <t>0602-006</t>
  </si>
  <si>
    <t>الحيمة</t>
  </si>
  <si>
    <t>0602-007</t>
  </si>
  <si>
    <t>الصفية</t>
  </si>
  <si>
    <t>0602-008</t>
  </si>
  <si>
    <t>الجزيرة</t>
  </si>
  <si>
    <t>0603-001</t>
  </si>
  <si>
    <t>النقيع</t>
  </si>
  <si>
    <t>approximate (governorate centre, ±110km)</t>
  </si>
  <si>
    <t>0603-002</t>
  </si>
  <si>
    <t>الحازمى</t>
  </si>
  <si>
    <t>0603-003</t>
  </si>
  <si>
    <t>صمخ</t>
  </si>
  <si>
    <t>0603-004</t>
  </si>
  <si>
    <t>الثنيه</t>
  </si>
  <si>
    <t>0603-005</t>
  </si>
  <si>
    <t>تباله</t>
  </si>
  <si>
    <t>0603-006</t>
  </si>
  <si>
    <t>الجعبة</t>
  </si>
  <si>
    <t>0603-007</t>
  </si>
  <si>
    <t>وادي ترج</t>
  </si>
  <si>
    <t>0603-008</t>
  </si>
  <si>
    <t>الجنينه</t>
  </si>
  <si>
    <t>0603-009</t>
  </si>
  <si>
    <t>العبلاء</t>
  </si>
  <si>
    <t>0603-010</t>
  </si>
  <si>
    <t>القوباء</t>
  </si>
  <si>
    <t>0603-011</t>
  </si>
  <si>
    <t>الدحو</t>
  </si>
  <si>
    <t>0603-012</t>
  </si>
  <si>
    <t>مهر</t>
  </si>
  <si>
    <t>0603-013</t>
  </si>
  <si>
    <t>سد الملك فهد</t>
  </si>
  <si>
    <t>0603-014</t>
  </si>
  <si>
    <t>صور</t>
  </si>
  <si>
    <t>0603-015</t>
  </si>
  <si>
    <t>0603-016</t>
  </si>
  <si>
    <t>العطف</t>
  </si>
  <si>
    <t>0604-001</t>
  </si>
  <si>
    <t>بني عمرو</t>
  </si>
  <si>
    <t>0604-002</t>
  </si>
  <si>
    <t>السرح</t>
  </si>
  <si>
    <t>approximate (governorate centre, ±43km)</t>
  </si>
  <si>
    <t>0604-003</t>
  </si>
  <si>
    <t>وادي زيد</t>
  </si>
  <si>
    <t>0605-001</t>
  </si>
  <si>
    <t>قنا</t>
  </si>
  <si>
    <t>0605-002</t>
  </si>
  <si>
    <t>بحر ابوسكينه</t>
  </si>
  <si>
    <t>0605-003</t>
  </si>
  <si>
    <t>تهامة بللسمر و بللحمر</t>
  </si>
  <si>
    <t>0605-004</t>
  </si>
  <si>
    <t>السعيدة</t>
  </si>
  <si>
    <t>0605-005</t>
  </si>
  <si>
    <t>خلال</t>
  </si>
  <si>
    <t>0605-006</t>
  </si>
  <si>
    <t>حميد العلايا</t>
  </si>
  <si>
    <t>0605-007</t>
  </si>
  <si>
    <t>خيم</t>
  </si>
  <si>
    <t>0605-008</t>
  </si>
  <si>
    <t>حبطن</t>
  </si>
  <si>
    <t>0605-009</t>
  </si>
  <si>
    <t>وادي تيه</t>
  </si>
  <si>
    <t>0606-001</t>
  </si>
  <si>
    <t>0606-002</t>
  </si>
  <si>
    <t>الجوه</t>
  </si>
  <si>
    <t>approximate (governorate centre, ±56km)</t>
  </si>
  <si>
    <t>0606-003</t>
  </si>
  <si>
    <t>0606-004</t>
  </si>
  <si>
    <t>وادى الحيا</t>
  </si>
  <si>
    <t>0606-005</t>
  </si>
  <si>
    <t>وادي سريان</t>
  </si>
  <si>
    <t>0606-006</t>
  </si>
  <si>
    <t>جوف آل معمر</t>
  </si>
  <si>
    <t>0606-007</t>
  </si>
  <si>
    <t>العسران</t>
  </si>
  <si>
    <t>0606-008</t>
  </si>
  <si>
    <t>سبت بنى بشر</t>
  </si>
  <si>
    <t>0606-009</t>
  </si>
  <si>
    <t>عين اللوي</t>
  </si>
  <si>
    <t>0606-010</t>
  </si>
  <si>
    <t>خشم عنقارٍ</t>
  </si>
  <si>
    <t>0607-001</t>
  </si>
  <si>
    <t>approximate (governorate centre, ±163km)</t>
  </si>
  <si>
    <t>0607-002</t>
  </si>
  <si>
    <t>ابرق النعام</t>
  </si>
  <si>
    <t>0607-003</t>
  </si>
  <si>
    <t>القيره</t>
  </si>
  <si>
    <t>0607-004</t>
  </si>
  <si>
    <t>حبيه</t>
  </si>
  <si>
    <t>0607-005</t>
  </si>
  <si>
    <t>الحمضه</t>
  </si>
  <si>
    <t>0607-006</t>
  </si>
  <si>
    <t>الزرق</t>
  </si>
  <si>
    <t>0607-007</t>
  </si>
  <si>
    <t>جاش</t>
  </si>
  <si>
    <t>0607-008</t>
  </si>
  <si>
    <t>الفرع</t>
  </si>
  <si>
    <t>0607-009</t>
  </si>
  <si>
    <t>ثجر سويدان</t>
  </si>
  <si>
    <t>0607-010</t>
  </si>
  <si>
    <t>عماير ال حميدان</t>
  </si>
  <si>
    <t>0607-011</t>
  </si>
  <si>
    <t>النهدين</t>
  </si>
  <si>
    <t>0607-012</t>
  </si>
  <si>
    <t>الرهوة</t>
  </si>
  <si>
    <t>0607-013</t>
  </si>
  <si>
    <t>العزيزية</t>
  </si>
  <si>
    <t>0607-014</t>
  </si>
  <si>
    <t>بيضان</t>
  </si>
  <si>
    <t>0607-015</t>
  </si>
  <si>
    <t>كحلان</t>
  </si>
  <si>
    <t>0609-001</t>
  </si>
  <si>
    <t>حسوه</t>
  </si>
  <si>
    <t>0609-002</t>
  </si>
  <si>
    <t>الحبيل</t>
  </si>
  <si>
    <t>0609-003</t>
  </si>
  <si>
    <t>الحريضه</t>
  </si>
  <si>
    <t>0609-004</t>
  </si>
  <si>
    <t>روام</t>
  </si>
  <si>
    <t>0609-005</t>
  </si>
  <si>
    <t>وسانب</t>
  </si>
  <si>
    <t>approximate (governorate centre, ±51km)</t>
  </si>
  <si>
    <t>0610-001</t>
  </si>
  <si>
    <t>الواديين</t>
  </si>
  <si>
    <t>0610-002</t>
  </si>
  <si>
    <t>الفرعين</t>
  </si>
  <si>
    <t>0610-003</t>
  </si>
  <si>
    <t>شعف جارمه</t>
  </si>
  <si>
    <t>approximate (governorate centre, ±27km)</t>
  </si>
  <si>
    <t>0611-001</t>
  </si>
  <si>
    <t>الفيض</t>
  </si>
  <si>
    <t>0611-002</t>
  </si>
  <si>
    <t>علب</t>
  </si>
  <si>
    <t>0611-003</t>
  </si>
  <si>
    <t>الغائل</t>
  </si>
  <si>
    <t>0611-004</t>
  </si>
  <si>
    <t>الحمرة</t>
  </si>
  <si>
    <t>0611-005</t>
  </si>
  <si>
    <t>الحاجر</t>
  </si>
  <si>
    <t>0611-006</t>
  </si>
  <si>
    <t>كحلاء</t>
  </si>
  <si>
    <t>0611-007</t>
  </si>
  <si>
    <t>النعضاء</t>
  </si>
  <si>
    <t>0611-008</t>
  </si>
  <si>
    <t>الرفغه</t>
  </si>
  <si>
    <t>0611-009</t>
  </si>
  <si>
    <t>الغول</t>
  </si>
  <si>
    <t>0612-001</t>
  </si>
  <si>
    <t>البشائر</t>
  </si>
  <si>
    <t>0612-002</t>
  </si>
  <si>
    <t>طلالا</t>
  </si>
  <si>
    <t>0612-003</t>
  </si>
  <si>
    <t>عفراء</t>
  </si>
  <si>
    <t>0612-004</t>
  </si>
  <si>
    <t>خثعم</t>
  </si>
  <si>
    <t>0612-005</t>
  </si>
  <si>
    <t>باشوت</t>
  </si>
  <si>
    <t>0612-006</t>
  </si>
  <si>
    <t>ال سلمه</t>
  </si>
  <si>
    <t>0612-007</t>
  </si>
  <si>
    <t>شواص</t>
  </si>
  <si>
    <t>approximate (governorate centre, ±50km)</t>
  </si>
  <si>
    <t>0612-008</t>
  </si>
  <si>
    <t>شعف بلقرن</t>
  </si>
  <si>
    <t>0612-009</t>
  </si>
  <si>
    <t>الشفاء</t>
  </si>
  <si>
    <t>0613-001</t>
  </si>
  <si>
    <t>ثربان</t>
  </si>
  <si>
    <t>0613-002</t>
  </si>
  <si>
    <t>عبس</t>
  </si>
  <si>
    <t>approximate (governorate centre, ±36km)</t>
  </si>
  <si>
    <t>0613-003</t>
  </si>
  <si>
    <t>احد ثربان</t>
  </si>
  <si>
    <t>0613-004</t>
  </si>
  <si>
    <t>ختبه</t>
  </si>
  <si>
    <t>0613-005</t>
  </si>
  <si>
    <t>خاط</t>
  </si>
  <si>
    <t>0614-001</t>
  </si>
  <si>
    <t>الخنقه</t>
  </si>
  <si>
    <t>0614-002</t>
  </si>
  <si>
    <t>ملحة الاحباب</t>
  </si>
  <si>
    <t>0614-003</t>
  </si>
  <si>
    <t>الصبيخه</t>
  </si>
  <si>
    <t>0614-004</t>
  </si>
  <si>
    <t>المضه</t>
  </si>
  <si>
    <t>0614-005</t>
  </si>
  <si>
    <t>عرقة آل سليمان</t>
  </si>
  <si>
    <t>0614-006</t>
  </si>
  <si>
    <t>الغضاة</t>
  </si>
  <si>
    <t>0615-001</t>
  </si>
  <si>
    <t>عمق</t>
  </si>
  <si>
    <t>approximate (governorate centre, ±65km)</t>
  </si>
  <si>
    <t>0615-002</t>
  </si>
  <si>
    <t>ذهبان</t>
  </si>
  <si>
    <t>0615-003</t>
  </si>
  <si>
    <t>المرصد</t>
  </si>
  <si>
    <t>0616-001</t>
  </si>
  <si>
    <t>ثلوث المنظر</t>
  </si>
  <si>
    <t>approximate (governorate centre, ±46km)</t>
  </si>
  <si>
    <t>0616-002</t>
  </si>
  <si>
    <t>جمعة ربيعه (المقاطرة)</t>
  </si>
  <si>
    <t>0617-001</t>
  </si>
  <si>
    <t>منصبة</t>
  </si>
  <si>
    <t>0701-001</t>
  </si>
  <si>
    <t>مغيرا الطبيق</t>
  </si>
  <si>
    <t>0701-002</t>
  </si>
  <si>
    <t>شقرى</t>
  </si>
  <si>
    <t>0701-003</t>
  </si>
  <si>
    <t>حاله عمار</t>
  </si>
  <si>
    <t>0701-004</t>
  </si>
  <si>
    <t>بجده</t>
  </si>
  <si>
    <t>0701-005</t>
  </si>
  <si>
    <t>بئر بن هرماس</t>
  </si>
  <si>
    <t>approximate (governorate centre, ±256km)</t>
  </si>
  <si>
    <t>0701-006</t>
  </si>
  <si>
    <t>الهوج</t>
  </si>
  <si>
    <t>0701-007</t>
  </si>
  <si>
    <t>رحيب</t>
  </si>
  <si>
    <t>0701-008</t>
  </si>
  <si>
    <t>اللوز</t>
  </si>
  <si>
    <t>0701-009</t>
  </si>
  <si>
    <t>الاخضر</t>
  </si>
  <si>
    <t>0701-010</t>
  </si>
  <si>
    <t>0701-011</t>
  </si>
  <si>
    <t>0701-012</t>
  </si>
  <si>
    <t>ذات الحاج</t>
  </si>
  <si>
    <t>0701-013</t>
  </si>
  <si>
    <t>0701-014</t>
  </si>
  <si>
    <t>الشايب</t>
  </si>
  <si>
    <t>0701-015</t>
  </si>
  <si>
    <t>كلوه</t>
  </si>
  <si>
    <t>0701-016</t>
  </si>
  <si>
    <t>السرو</t>
  </si>
  <si>
    <t>0701-017</t>
  </si>
  <si>
    <t>الضلفه</t>
  </si>
  <si>
    <t>0701-018</t>
  </si>
  <si>
    <t>نعمى</t>
  </si>
  <si>
    <t>0704-001</t>
  </si>
  <si>
    <t>القليبه</t>
  </si>
  <si>
    <t>approximate (governorate centre, ±165km)</t>
  </si>
  <si>
    <t>0704-002</t>
  </si>
  <si>
    <t>المعظم</t>
  </si>
  <si>
    <t>0704-003</t>
  </si>
  <si>
    <t>فجر</t>
  </si>
  <si>
    <t>0701-019</t>
  </si>
  <si>
    <t>الحوي</t>
  </si>
  <si>
    <t>0702-001</t>
  </si>
  <si>
    <t>0702-002</t>
  </si>
  <si>
    <t>ابو القزاز</t>
  </si>
  <si>
    <t>0702-003</t>
  </si>
  <si>
    <t>بداء</t>
  </si>
  <si>
    <t>0702-004</t>
  </si>
  <si>
    <t>خرباء</t>
  </si>
  <si>
    <t>approximate (governorate centre, ±126km)</t>
  </si>
  <si>
    <t>0702-005</t>
  </si>
  <si>
    <t>النابع</t>
  </si>
  <si>
    <t>0702-006</t>
  </si>
  <si>
    <t>الكر</t>
  </si>
  <si>
    <t>0702-007</t>
  </si>
  <si>
    <t>السديد</t>
  </si>
  <si>
    <t>0702-008</t>
  </si>
  <si>
    <t>0702-009</t>
  </si>
  <si>
    <t>عنتر</t>
  </si>
  <si>
    <t>0702-010</t>
  </si>
  <si>
    <t>الخرار</t>
  </si>
  <si>
    <t>0702-011</t>
  </si>
  <si>
    <t>ابو راكه</t>
  </si>
  <si>
    <t>0702-012</t>
  </si>
  <si>
    <t>النشيفه</t>
  </si>
  <si>
    <t>0702-013</t>
  </si>
  <si>
    <t>الفارعه</t>
  </si>
  <si>
    <t>0702-014</t>
  </si>
  <si>
    <t>الجو</t>
  </si>
  <si>
    <t>0703-001</t>
  </si>
  <si>
    <t>الخريبه</t>
  </si>
  <si>
    <t>0703-002</t>
  </si>
  <si>
    <t>شواق</t>
  </si>
  <si>
    <t>0703-003</t>
  </si>
  <si>
    <t>شرماء</t>
  </si>
  <si>
    <t>0703-004</t>
  </si>
  <si>
    <t>صدر</t>
  </si>
  <si>
    <t>0703-005</t>
  </si>
  <si>
    <t>المويلح</t>
  </si>
  <si>
    <t>0703-006</t>
  </si>
  <si>
    <t>صر</t>
  </si>
  <si>
    <t>0703-007</t>
  </si>
  <si>
    <t>الديسه</t>
  </si>
  <si>
    <t>0703-008</t>
  </si>
  <si>
    <t>شغب</t>
  </si>
  <si>
    <t>0703-009</t>
  </si>
  <si>
    <t>رأس الخريطة</t>
  </si>
  <si>
    <t>approximate (governorate centre, ±123km)</t>
  </si>
  <si>
    <t>0703-010</t>
  </si>
  <si>
    <t>العمود</t>
  </si>
  <si>
    <t>0703-011</t>
  </si>
  <si>
    <t>نابع داما</t>
  </si>
  <si>
    <t>0703-012</t>
  </si>
  <si>
    <t>بئر فحيمان</t>
  </si>
  <si>
    <t>0703-013</t>
  </si>
  <si>
    <t>الصوره</t>
  </si>
  <si>
    <t>0703-014</t>
  </si>
  <si>
    <t>ابو سلمه</t>
  </si>
  <si>
    <t>0703-015</t>
  </si>
  <si>
    <t>روى</t>
  </si>
  <si>
    <t>0704-004</t>
  </si>
  <si>
    <t>الجهراء</t>
  </si>
  <si>
    <t>0704-005</t>
  </si>
  <si>
    <t>الكتيب</t>
  </si>
  <si>
    <t>0704-006</t>
  </si>
  <si>
    <t>0704-007</t>
  </si>
  <si>
    <t>الجبعاوية</t>
  </si>
  <si>
    <t>0704-008</t>
  </si>
  <si>
    <t>ابيط</t>
  </si>
  <si>
    <t>0704-009</t>
  </si>
  <si>
    <t>العسافيه</t>
  </si>
  <si>
    <t>0704-010</t>
  </si>
  <si>
    <t>مديسيس</t>
  </si>
  <si>
    <t>0704-011</t>
  </si>
  <si>
    <t>الجديد</t>
  </si>
  <si>
    <t>0704-012</t>
  </si>
  <si>
    <t>0705-001</t>
  </si>
  <si>
    <t>الحره الشماليه</t>
  </si>
  <si>
    <t>approximate (governorate centre, ±108km)</t>
  </si>
  <si>
    <t>0705-002</t>
  </si>
  <si>
    <t>الشبحه</t>
  </si>
  <si>
    <t>0705-003</t>
  </si>
  <si>
    <t>الشدخ</t>
  </si>
  <si>
    <t>0705-004</t>
  </si>
  <si>
    <t>العنبجه</t>
  </si>
  <si>
    <t>0705-005</t>
  </si>
  <si>
    <t>الرويضات</t>
  </si>
  <si>
    <t>0705-006</t>
  </si>
  <si>
    <t>مرخ</t>
  </si>
  <si>
    <t>0705-007</t>
  </si>
  <si>
    <t>ذرفى</t>
  </si>
  <si>
    <t>0705-008</t>
  </si>
  <si>
    <t>حراض</t>
  </si>
  <si>
    <t>0705-009</t>
  </si>
  <si>
    <t>الشبعان</t>
  </si>
  <si>
    <t>0705-010</t>
  </si>
  <si>
    <t>0705-011</t>
  </si>
  <si>
    <t>صروم</t>
  </si>
  <si>
    <t>0705-012</t>
  </si>
  <si>
    <t>الهجمية</t>
  </si>
  <si>
    <t>0705-013</t>
  </si>
  <si>
    <t>0705-014</t>
  </si>
  <si>
    <t>الحائل</t>
  </si>
  <si>
    <t>0705-015</t>
  </si>
  <si>
    <t>الشتات</t>
  </si>
  <si>
    <t>0706-001</t>
  </si>
  <si>
    <t>الدره</t>
  </si>
  <si>
    <t>approximate (governorate centre, ±67km)</t>
  </si>
  <si>
    <t>0706-002</t>
  </si>
  <si>
    <t>ابو الحنشان</t>
  </si>
  <si>
    <t>0706-003</t>
  </si>
  <si>
    <t>علقان</t>
  </si>
  <si>
    <t>0706-004</t>
  </si>
  <si>
    <t>الزيته</t>
  </si>
  <si>
    <t>0706-005</t>
  </si>
  <si>
    <t>الوادي الجديد</t>
  </si>
  <si>
    <t>0706-006</t>
  </si>
  <si>
    <t>علو القصير</t>
  </si>
  <si>
    <t>0707-001</t>
  </si>
  <si>
    <t>قيال</t>
  </si>
  <si>
    <t>0707-002</t>
  </si>
  <si>
    <t>ابو رمانه</t>
  </si>
  <si>
    <t>0707-003</t>
  </si>
  <si>
    <t>العصيليه</t>
  </si>
  <si>
    <t>0707-004</t>
  </si>
  <si>
    <t>مقنا</t>
  </si>
  <si>
    <t>0801-001</t>
  </si>
  <si>
    <t>جبة</t>
  </si>
  <si>
    <t>0801-002</t>
  </si>
  <si>
    <t>الخطه</t>
  </si>
  <si>
    <t>0801-003</t>
  </si>
  <si>
    <t>قناء</t>
  </si>
  <si>
    <t>0801-004</t>
  </si>
  <si>
    <t>ام القلبان</t>
  </si>
  <si>
    <t>0801-005</t>
  </si>
  <si>
    <t>عقده</t>
  </si>
  <si>
    <t>0801-006</t>
  </si>
  <si>
    <t>قفار</t>
  </si>
  <si>
    <t>0801-007</t>
  </si>
  <si>
    <t>النيصيه</t>
  </si>
  <si>
    <t>0801-008</t>
  </si>
  <si>
    <t>قصر العشروات</t>
  </si>
  <si>
    <t>0801-009</t>
  </si>
  <si>
    <t>الودى</t>
  </si>
  <si>
    <t>0801-010</t>
  </si>
  <si>
    <t>0801-011</t>
  </si>
  <si>
    <t>العش</t>
  </si>
  <si>
    <t>0801-012</t>
  </si>
  <si>
    <t>القاعد</t>
  </si>
  <si>
    <t>0801-013</t>
  </si>
  <si>
    <t>الرديفة</t>
  </si>
  <si>
    <t>0801-014</t>
  </si>
  <si>
    <t>التيم</t>
  </si>
  <si>
    <t>0801-015</t>
  </si>
  <si>
    <t>عريجاء</t>
  </si>
  <si>
    <t>0802-001</t>
  </si>
  <si>
    <t>تربة</t>
  </si>
  <si>
    <t>0802-002</t>
  </si>
  <si>
    <t>الزبيره</t>
  </si>
  <si>
    <t>approximate (governorate centre, ±78km)</t>
  </si>
  <si>
    <t>0802-003</t>
  </si>
  <si>
    <t>الخوير</t>
  </si>
  <si>
    <t>0802-004</t>
  </si>
  <si>
    <t>الاجفر</t>
  </si>
  <si>
    <t>0802-005</t>
  </si>
  <si>
    <t>ضبيعه</t>
  </si>
  <si>
    <t>0802-006</t>
  </si>
  <si>
    <t>0802-007</t>
  </si>
  <si>
    <t>شعيبة المياه</t>
  </si>
  <si>
    <t>0802-008</t>
  </si>
  <si>
    <t>الشيحية</t>
  </si>
  <si>
    <t>0802-009</t>
  </si>
  <si>
    <t>0802-010</t>
  </si>
  <si>
    <t>ام ساروت</t>
  </si>
  <si>
    <t>0802-011</t>
  </si>
  <si>
    <t>الناصرية</t>
  </si>
  <si>
    <t>0802-012</t>
  </si>
  <si>
    <t>الشعلانية</t>
  </si>
  <si>
    <t>0802-013</t>
  </si>
  <si>
    <t>الجثاثية</t>
  </si>
  <si>
    <t>0802-014</t>
  </si>
  <si>
    <t>جبله</t>
  </si>
  <si>
    <t>0803-001</t>
  </si>
  <si>
    <t>ريع البكر</t>
  </si>
  <si>
    <t>0803-002</t>
  </si>
  <si>
    <t>الهويدى</t>
  </si>
  <si>
    <t>0803-003</t>
  </si>
  <si>
    <t>سقف</t>
  </si>
  <si>
    <t>0803-004</t>
  </si>
  <si>
    <t>وسيطا الحفن</t>
  </si>
  <si>
    <t>0803-005</t>
  </si>
  <si>
    <t>0803-006</t>
  </si>
  <si>
    <t>بدع الحويط</t>
  </si>
  <si>
    <t>0804-001</t>
  </si>
  <si>
    <t>0804-002</t>
  </si>
  <si>
    <t>طابه</t>
  </si>
  <si>
    <t>0804-003</t>
  </si>
  <si>
    <t>0804-004</t>
  </si>
  <si>
    <t>العدوه</t>
  </si>
  <si>
    <t>0804-005</t>
  </si>
  <si>
    <t>فيد</t>
  </si>
  <si>
    <t>0804-006</t>
  </si>
  <si>
    <t>الساقية</t>
  </si>
  <si>
    <t>0804-007</t>
  </si>
  <si>
    <t>رك</t>
  </si>
  <si>
    <t>0804-008</t>
  </si>
  <si>
    <t>النعى</t>
  </si>
  <si>
    <t>0804-009</t>
  </si>
  <si>
    <t>الجحفه</t>
  </si>
  <si>
    <t>0804-010</t>
  </si>
  <si>
    <t>0804-011</t>
  </si>
  <si>
    <t>السبعان</t>
  </si>
  <si>
    <t>0804-012</t>
  </si>
  <si>
    <t>الصغوي</t>
  </si>
  <si>
    <t>0804-013</t>
  </si>
  <si>
    <t>الطرفية</t>
  </si>
  <si>
    <t>approximate (governorate centre, ±97km)</t>
  </si>
  <si>
    <t>0804-014</t>
  </si>
  <si>
    <t>الأرشاوية</t>
  </si>
  <si>
    <t>0805-001</t>
  </si>
  <si>
    <t>بيضاء نثيل</t>
  </si>
  <si>
    <t>0805-002</t>
  </si>
  <si>
    <t>فيضة بن سويلم</t>
  </si>
  <si>
    <t>approximate (governorate centre, ±102km)</t>
  </si>
  <si>
    <t>0805-003</t>
  </si>
  <si>
    <t>عمائر بن صنعاء</t>
  </si>
  <si>
    <t>0805-004</t>
  </si>
  <si>
    <t>ساحوت</t>
  </si>
  <si>
    <t>0805-005</t>
  </si>
  <si>
    <t>بئر الرفدي</t>
  </si>
  <si>
    <t>0805-006</t>
  </si>
  <si>
    <t>غزلانه</t>
  </si>
  <si>
    <t>0805-007</t>
  </si>
  <si>
    <t>لبده</t>
  </si>
  <si>
    <t>0805-008</t>
  </si>
  <si>
    <t>ضاحية الشملي الغربية</t>
  </si>
  <si>
    <t>0805-009</t>
  </si>
  <si>
    <t>0806-001</t>
  </si>
  <si>
    <t>المحفر</t>
  </si>
  <si>
    <t>0806-002</t>
  </si>
  <si>
    <t>الحفير</t>
  </si>
  <si>
    <t>0806-003</t>
  </si>
  <si>
    <t>الشقيق</t>
  </si>
  <si>
    <t>0806-004</t>
  </si>
  <si>
    <t>دليهان</t>
  </si>
  <si>
    <t>0806-005</t>
  </si>
  <si>
    <t>الصنينا</t>
  </si>
  <si>
    <t>0806-006</t>
  </si>
  <si>
    <t>سعيدان</t>
  </si>
  <si>
    <t>0806-007</t>
  </si>
  <si>
    <t>العويد</t>
  </si>
  <si>
    <t>0806-008</t>
  </si>
  <si>
    <t>عقله بن جبرين</t>
  </si>
  <si>
    <t>approximate (governorate centre, ±95km)</t>
  </si>
  <si>
    <t>0807-001</t>
  </si>
  <si>
    <t>شبريه</t>
  </si>
  <si>
    <t>0807-002</t>
  </si>
  <si>
    <t>العظيم</t>
  </si>
  <si>
    <t>0807-003</t>
  </si>
  <si>
    <t>عقلة بن طوالة</t>
  </si>
  <si>
    <t>0807-004</t>
  </si>
  <si>
    <t>عقلة بن دانى</t>
  </si>
  <si>
    <t>0807-005</t>
  </si>
  <si>
    <t>غمره</t>
  </si>
  <si>
    <t>0807-006</t>
  </si>
  <si>
    <t>غسل</t>
  </si>
  <si>
    <t>0807-007</t>
  </si>
  <si>
    <t>كتيفة</t>
  </si>
  <si>
    <t>0807-008</t>
  </si>
  <si>
    <t>الجابرية</t>
  </si>
  <si>
    <t>0807-009</t>
  </si>
  <si>
    <t>القصير</t>
  </si>
  <si>
    <t>0807-010</t>
  </si>
  <si>
    <t>المضيح</t>
  </si>
  <si>
    <t>0807-011</t>
  </si>
  <si>
    <t>الصفراء</t>
  </si>
  <si>
    <t>0808-001</t>
  </si>
  <si>
    <t>الحليفه السفلى</t>
  </si>
  <si>
    <t>0808-002</t>
  </si>
  <si>
    <t>انبوان</t>
  </si>
  <si>
    <t>0808-003</t>
  </si>
  <si>
    <t>الحليفه العليا</t>
  </si>
  <si>
    <t>0808-004</t>
  </si>
  <si>
    <t>صفيط</t>
  </si>
  <si>
    <t>0808-005</t>
  </si>
  <si>
    <t>فيضه اثقب</t>
  </si>
  <si>
    <t>0808-006</t>
  </si>
  <si>
    <t>الخفيج</t>
  </si>
  <si>
    <t>0808-007</t>
  </si>
  <si>
    <t>الشويمس</t>
  </si>
  <si>
    <t>0808-008</t>
  </si>
  <si>
    <t>الدابيه</t>
  </si>
  <si>
    <t>0808-009</t>
  </si>
  <si>
    <t>المرير</t>
  </si>
  <si>
    <t>0808-010</t>
  </si>
  <si>
    <t>روض بن هادى</t>
  </si>
  <si>
    <t>0805-010</t>
  </si>
  <si>
    <t>ضرغط</t>
  </si>
  <si>
    <t>0808-011</t>
  </si>
  <si>
    <t>ضريغط</t>
  </si>
  <si>
    <t>0808-012</t>
  </si>
  <si>
    <t>بدع بن خلف</t>
  </si>
  <si>
    <t>0808-013</t>
  </si>
  <si>
    <t>المناخ</t>
  </si>
  <si>
    <t>0808-014</t>
  </si>
  <si>
    <t>عيال عبيد</t>
  </si>
  <si>
    <t>0808-015</t>
  </si>
  <si>
    <t>الوسعه</t>
  </si>
  <si>
    <t>0808-016</t>
  </si>
  <si>
    <t>المغار</t>
  </si>
  <si>
    <t>0808-017</t>
  </si>
  <si>
    <t>الخفج</t>
  </si>
  <si>
    <t>0808-018</t>
  </si>
  <si>
    <t>الرقب</t>
  </si>
  <si>
    <t>0808-019</t>
  </si>
  <si>
    <t>المعرش</t>
  </si>
  <si>
    <t>0808-020</t>
  </si>
  <si>
    <t>جبال العلم</t>
  </si>
  <si>
    <t>0809-001</t>
  </si>
  <si>
    <t>البعايث</t>
  </si>
  <si>
    <t>0809-002</t>
  </si>
  <si>
    <t>النحيتيه</t>
  </si>
  <si>
    <t>0809-003</t>
  </si>
  <si>
    <t>مراغان</t>
  </si>
  <si>
    <t>0809-004</t>
  </si>
  <si>
    <t>قاع حجلاء</t>
  </si>
  <si>
    <t>0809-005</t>
  </si>
  <si>
    <t>العجاجة</t>
  </si>
  <si>
    <t>0809-006</t>
  </si>
  <si>
    <t>العيثمه</t>
  </si>
  <si>
    <t>0809-007</t>
  </si>
  <si>
    <t>الثماميه</t>
  </si>
  <si>
    <t>0809-008</t>
  </si>
  <si>
    <t>البركة</t>
  </si>
  <si>
    <t>0809-009</t>
  </si>
  <si>
    <t>الذكري</t>
  </si>
  <si>
    <t>0901-001</t>
  </si>
  <si>
    <t>الجديدة</t>
  </si>
  <si>
    <t>0901-002</t>
  </si>
  <si>
    <t>ام خنصر</t>
  </si>
  <si>
    <t>0901-003</t>
  </si>
  <si>
    <t>حزم الجلاميد</t>
  </si>
  <si>
    <t>0902-001</t>
  </si>
  <si>
    <t>لينه</t>
  </si>
  <si>
    <t>0902-002</t>
  </si>
  <si>
    <t>الشعبة</t>
  </si>
  <si>
    <t>0902-003</t>
  </si>
  <si>
    <t>سماح</t>
  </si>
  <si>
    <t>approximate (governorate centre, ±213km)</t>
  </si>
  <si>
    <t>0902-004</t>
  </si>
  <si>
    <t>نصاب</t>
  </si>
  <si>
    <t>0902-005</t>
  </si>
  <si>
    <t>لوقة</t>
  </si>
  <si>
    <t>0902-006</t>
  </si>
  <si>
    <t>التمياط</t>
  </si>
  <si>
    <t>0902-007</t>
  </si>
  <si>
    <t>بن شريم</t>
  </si>
  <si>
    <t>0902-008</t>
  </si>
  <si>
    <t>بن هباس</t>
  </si>
  <si>
    <t>0902-009</t>
  </si>
  <si>
    <t>0902-010</t>
  </si>
  <si>
    <t>الخشيبي</t>
  </si>
  <si>
    <t>0902-011</t>
  </si>
  <si>
    <t>زبالا</t>
  </si>
  <si>
    <t>0902-012</t>
  </si>
  <si>
    <t>العجرمية</t>
  </si>
  <si>
    <t>0902-013</t>
  </si>
  <si>
    <t>رغوة</t>
  </si>
  <si>
    <t>0902-014</t>
  </si>
  <si>
    <t>الحدق</t>
  </si>
  <si>
    <t>0902-015</t>
  </si>
  <si>
    <t>أعيوج لينة</t>
  </si>
  <si>
    <t>0902-016</t>
  </si>
  <si>
    <t>الحدقة</t>
  </si>
  <si>
    <t>0902-017</t>
  </si>
  <si>
    <t>الجميمة</t>
  </si>
  <si>
    <t>0903-001</t>
  </si>
  <si>
    <t>الجرانى</t>
  </si>
  <si>
    <t>0904-001</t>
  </si>
  <si>
    <t>الصحن</t>
  </si>
  <si>
    <t>0904-002</t>
  </si>
  <si>
    <t>الدويد</t>
  </si>
  <si>
    <t>0904-003</t>
  </si>
  <si>
    <t>الكاسب</t>
  </si>
  <si>
    <t>0904-004</t>
  </si>
  <si>
    <t>ابورواث</t>
  </si>
  <si>
    <t>approximate (governorate centre, ±128km)</t>
  </si>
  <si>
    <t>0904-005</t>
  </si>
  <si>
    <t>نعيجان</t>
  </si>
  <si>
    <t>0904-006</t>
  </si>
  <si>
    <t>زهوه</t>
  </si>
  <si>
    <t>0904-007</t>
  </si>
  <si>
    <t>الأيدية</t>
  </si>
  <si>
    <t>1001-001</t>
  </si>
  <si>
    <t>الفطيحه</t>
  </si>
  <si>
    <t>1002-001</t>
  </si>
  <si>
    <t>العاليه</t>
  </si>
  <si>
    <t>1002-002</t>
  </si>
  <si>
    <t>قوز الجعافره</t>
  </si>
  <si>
    <t>1002-003</t>
  </si>
  <si>
    <t>الكدمى</t>
  </si>
  <si>
    <t>1003-001</t>
  </si>
  <si>
    <t>وادى جازان</t>
  </si>
  <si>
    <t>1004-001</t>
  </si>
  <si>
    <t>القفل</t>
  </si>
  <si>
    <t>1004-002</t>
  </si>
  <si>
    <t>السهي</t>
  </si>
  <si>
    <t>1005-001</t>
  </si>
  <si>
    <t>الخشل</t>
  </si>
  <si>
    <t>1006-001</t>
  </si>
  <si>
    <t>الشقيرى</t>
  </si>
  <si>
    <t>1007-001</t>
  </si>
  <si>
    <t>عمود</t>
  </si>
  <si>
    <t>1007-002</t>
  </si>
  <si>
    <t>الجبل الاسود</t>
  </si>
  <si>
    <t>1007-003</t>
  </si>
  <si>
    <t>جبل القهر</t>
  </si>
  <si>
    <t>1007-004</t>
  </si>
  <si>
    <t>مقزع</t>
  </si>
  <si>
    <t>approximate (governorate centre, ±28km)</t>
  </si>
  <si>
    <t>1007-005</t>
  </si>
  <si>
    <t>ملاطس</t>
  </si>
  <si>
    <t>1008-001</t>
  </si>
  <si>
    <t>الحقو</t>
  </si>
  <si>
    <t>1008-002</t>
  </si>
  <si>
    <t>مسليه</t>
  </si>
  <si>
    <t>1008-003</t>
  </si>
  <si>
    <t>الخلاوية والنجوع</t>
  </si>
  <si>
    <t>1010-001</t>
  </si>
  <si>
    <t>جبال الحشر</t>
  </si>
  <si>
    <t>1010-002</t>
  </si>
  <si>
    <t>آل زيدان</t>
  </si>
  <si>
    <t>1010-003</t>
  </si>
  <si>
    <t>وادي دفاء</t>
  </si>
  <si>
    <t>1010-004</t>
  </si>
  <si>
    <t>عثوان</t>
  </si>
  <si>
    <t>1010-005</t>
  </si>
  <si>
    <t>السلف</t>
  </si>
  <si>
    <t>1010-006</t>
  </si>
  <si>
    <t>الجانبه</t>
  </si>
  <si>
    <t>1011-001</t>
  </si>
  <si>
    <t>الحكامية</t>
  </si>
  <si>
    <t>1012-001</t>
  </si>
  <si>
    <t>بلغازي</t>
  </si>
  <si>
    <t>1012-002</t>
  </si>
  <si>
    <t>ريع مصيدة</t>
  </si>
  <si>
    <t>1013-001</t>
  </si>
  <si>
    <t>قيس</t>
  </si>
  <si>
    <t>1013-002</t>
  </si>
  <si>
    <t>القصبه</t>
  </si>
  <si>
    <t>1013-003</t>
  </si>
  <si>
    <t>الحميراء</t>
  </si>
  <si>
    <t>1014-001</t>
  </si>
  <si>
    <t>ريم</t>
  </si>
  <si>
    <t>1014-002</t>
  </si>
  <si>
    <t>1014-003</t>
  </si>
  <si>
    <t>عتود</t>
  </si>
  <si>
    <t>1014-004</t>
  </si>
  <si>
    <t>سمرة</t>
  </si>
  <si>
    <t>1015-001</t>
  </si>
  <si>
    <t>الموسم</t>
  </si>
  <si>
    <t>1016-001</t>
  </si>
  <si>
    <t>منجد</t>
  </si>
  <si>
    <t>1016-002</t>
  </si>
  <si>
    <t>وساع</t>
  </si>
  <si>
    <t>1016-003</t>
  </si>
  <si>
    <t>وادي رزان</t>
  </si>
  <si>
    <t>1016-004</t>
  </si>
  <si>
    <t>جبل الجوين</t>
  </si>
  <si>
    <t>1016-005</t>
  </si>
  <si>
    <t>حجن</t>
  </si>
  <si>
    <t>1101-001</t>
  </si>
  <si>
    <t>بئر عسكر</t>
  </si>
  <si>
    <t>1101-002</t>
  </si>
  <si>
    <t>عاكفه</t>
  </si>
  <si>
    <t>approximate (governorate centre, ±60km)</t>
  </si>
  <si>
    <t>1101-003</t>
  </si>
  <si>
    <t>ابا الرشاش</t>
  </si>
  <si>
    <t>1101-004</t>
  </si>
  <si>
    <t>المشعلية</t>
  </si>
  <si>
    <t>1101-005</t>
  </si>
  <si>
    <t>الحصينية</t>
  </si>
  <si>
    <t>1101-006</t>
  </si>
  <si>
    <t>الخرعاء</t>
  </si>
  <si>
    <t>1102-001</t>
  </si>
  <si>
    <t>الوديعه</t>
  </si>
  <si>
    <t>1102-002</t>
  </si>
  <si>
    <t>تماني</t>
  </si>
  <si>
    <t>1102-003</t>
  </si>
  <si>
    <t>حمراء نثيل</t>
  </si>
  <si>
    <t>1102-004</t>
  </si>
  <si>
    <t>قلمه خجيم</t>
  </si>
  <si>
    <t>approximate (governorate centre, ±365km)</t>
  </si>
  <si>
    <t>1102-005</t>
  </si>
  <si>
    <t>الاخاشيم</t>
  </si>
  <si>
    <t>1102-006</t>
  </si>
  <si>
    <t>المعاطيف</t>
  </si>
  <si>
    <t>1102-007</t>
  </si>
  <si>
    <t>ام غارب</t>
  </si>
  <si>
    <t>1102-008</t>
  </si>
  <si>
    <t>1102-009</t>
  </si>
  <si>
    <t>مجه</t>
  </si>
  <si>
    <t>1102-010</t>
  </si>
  <si>
    <t>1102-011</t>
  </si>
  <si>
    <t>بهجه</t>
  </si>
  <si>
    <t>1102-012</t>
  </si>
  <si>
    <t>منفذ الوديعة</t>
  </si>
  <si>
    <t>1102-013</t>
  </si>
  <si>
    <t>الحايرة</t>
  </si>
  <si>
    <t>1102-014</t>
  </si>
  <si>
    <t>السطحية</t>
  </si>
  <si>
    <t>1102-015</t>
  </si>
  <si>
    <t>سرداب</t>
  </si>
  <si>
    <t>1102-016</t>
  </si>
  <si>
    <t>ام الملح</t>
  </si>
  <si>
    <t>1103-001</t>
  </si>
  <si>
    <t>المجمع</t>
  </si>
  <si>
    <t>1103-002</t>
  </si>
  <si>
    <t>سلوه</t>
  </si>
  <si>
    <t>1103-003</t>
  </si>
  <si>
    <t>الحرشف والجفه</t>
  </si>
  <si>
    <t>approximate (governorate centre, ±31km)</t>
  </si>
  <si>
    <t>1104-001</t>
  </si>
  <si>
    <t>الخانق</t>
  </si>
  <si>
    <t>1104-002</t>
  </si>
  <si>
    <t>هداده</t>
  </si>
  <si>
    <t>1104-003</t>
  </si>
  <si>
    <t>الرحاب</t>
  </si>
  <si>
    <t>1104-004</t>
  </si>
  <si>
    <t>لدمه</t>
  </si>
  <si>
    <t>approximate (governorate centre, ±41km)</t>
  </si>
  <si>
    <t>1104-005</t>
  </si>
  <si>
    <t>العرج</t>
  </si>
  <si>
    <t>1105-001</t>
  </si>
  <si>
    <t>سلطانه</t>
  </si>
  <si>
    <t>1105-002</t>
  </si>
  <si>
    <t>1105-003</t>
  </si>
  <si>
    <t>السبيل</t>
  </si>
  <si>
    <t>approximate (governorate centre, ±155km)</t>
  </si>
  <si>
    <t>1105-004</t>
  </si>
  <si>
    <t>المندفن</t>
  </si>
  <si>
    <t>1105-005</t>
  </si>
  <si>
    <t>منادي</t>
  </si>
  <si>
    <t>1105-006</t>
  </si>
  <si>
    <t>نجد سهى</t>
  </si>
  <si>
    <t>1105-007</t>
  </si>
  <si>
    <t>1106-001</t>
  </si>
  <si>
    <t>1106-002</t>
  </si>
  <si>
    <t>حمى</t>
  </si>
  <si>
    <t>1106-003</t>
  </si>
  <si>
    <t>الصفاح</t>
  </si>
  <si>
    <t>1106-004</t>
  </si>
  <si>
    <t>ثجر</t>
  </si>
  <si>
    <t>1106-005</t>
  </si>
  <si>
    <t>الجوشن</t>
  </si>
  <si>
    <t>1106-006</t>
  </si>
  <si>
    <t>المحمدية</t>
  </si>
  <si>
    <t>1107-001</t>
  </si>
  <si>
    <t>هويمل</t>
  </si>
  <si>
    <t>1107-002</t>
  </si>
  <si>
    <t>النقيحاء</t>
  </si>
  <si>
    <t>1107-003</t>
  </si>
  <si>
    <t>ابو شداد</t>
  </si>
  <si>
    <t>1107-004</t>
  </si>
  <si>
    <t>المحياش</t>
  </si>
  <si>
    <t>1107-005</t>
  </si>
  <si>
    <t>ام الوهط</t>
  </si>
  <si>
    <t>1107-006</t>
  </si>
  <si>
    <t>شقة الكناور</t>
  </si>
  <si>
    <t>1107-007</t>
  </si>
  <si>
    <t>المنخلي</t>
  </si>
  <si>
    <t>1107-008</t>
  </si>
  <si>
    <t>الخضراء</t>
  </si>
  <si>
    <t>1201-001</t>
  </si>
  <si>
    <t>1201-002</t>
  </si>
  <si>
    <t>بني ظبيان</t>
  </si>
  <si>
    <t>approximate (governorate centre, ±18km)</t>
  </si>
  <si>
    <t>1202-001</t>
  </si>
  <si>
    <t>بني كبير</t>
  </si>
  <si>
    <t>1202-002</t>
  </si>
  <si>
    <t>بالشهم</t>
  </si>
  <si>
    <t>1202-003</t>
  </si>
  <si>
    <t>بادية بني كبير</t>
  </si>
  <si>
    <t>1202-004</t>
  </si>
  <si>
    <t>وادي شرى</t>
  </si>
  <si>
    <t>1202-005</t>
  </si>
  <si>
    <t>الجنابين</t>
  </si>
  <si>
    <t>1203-001</t>
  </si>
  <si>
    <t>بالخزمر</t>
  </si>
  <si>
    <t>1203-002</t>
  </si>
  <si>
    <t>دوس</t>
  </si>
  <si>
    <t>1203-003</t>
  </si>
  <si>
    <t>برحرح</t>
  </si>
  <si>
    <t>1203-004</t>
  </si>
  <si>
    <t>دوس بني فهم</t>
  </si>
  <si>
    <t>1204-001</t>
  </si>
  <si>
    <t>ناوان</t>
  </si>
  <si>
    <t>1204-002</t>
  </si>
  <si>
    <t>شدا الاعلى</t>
  </si>
  <si>
    <t>1204-003</t>
  </si>
  <si>
    <t>1204-004</t>
  </si>
  <si>
    <t>نيرا</t>
  </si>
  <si>
    <t>1204-005</t>
  </si>
  <si>
    <t>وادي ممنا</t>
  </si>
  <si>
    <t>1204-006</t>
  </si>
  <si>
    <t>وادي الأحسبة</t>
  </si>
  <si>
    <t>1205-001</t>
  </si>
  <si>
    <t>جرب</t>
  </si>
  <si>
    <t>1205-002</t>
  </si>
  <si>
    <t>كرا الحائط</t>
  </si>
  <si>
    <t>1205-003</t>
  </si>
  <si>
    <t>وراخ</t>
  </si>
  <si>
    <t>1205-004</t>
  </si>
  <si>
    <t>1205-005</t>
  </si>
  <si>
    <t>الجاوه</t>
  </si>
  <si>
    <t>approximate (governorate centre, ±58km)</t>
  </si>
  <si>
    <t>1205-006</t>
  </si>
  <si>
    <t>بهر</t>
  </si>
  <si>
    <t>1206-001</t>
  </si>
  <si>
    <t>1206-002</t>
  </si>
  <si>
    <t>باللسود وآل سويدي</t>
  </si>
  <si>
    <t>approximate (governorate centre, ±38km)</t>
  </si>
  <si>
    <t>1206-003</t>
  </si>
  <si>
    <t>1206-004</t>
  </si>
  <si>
    <t>1206-005</t>
  </si>
  <si>
    <t>وادي ريم</t>
  </si>
  <si>
    <t>1207-001</t>
  </si>
  <si>
    <t>بيده</t>
  </si>
  <si>
    <t>1207-002</t>
  </si>
  <si>
    <t>بني حرير وبني عدوان</t>
  </si>
  <si>
    <t>1207-003</t>
  </si>
  <si>
    <t>نخال</t>
  </si>
  <si>
    <t>1207-004</t>
  </si>
  <si>
    <t>معشوقه</t>
  </si>
  <si>
    <t>1207-005</t>
  </si>
  <si>
    <t>تربة الخيالة</t>
  </si>
  <si>
    <t>1208-001</t>
  </si>
  <si>
    <t>approximate (governorate centre, ±11km)</t>
  </si>
  <si>
    <t>1208-002</t>
  </si>
  <si>
    <t>وادي الصدر</t>
  </si>
  <si>
    <t>1209-001</t>
  </si>
  <si>
    <t>غامد الزناد</t>
  </si>
  <si>
    <t>بطاط</t>
  </si>
  <si>
    <t>1209-002</t>
  </si>
  <si>
    <t>نصبه وجبال المسودة</t>
  </si>
  <si>
    <t>1209-003</t>
  </si>
  <si>
    <t>يبس</t>
  </si>
  <si>
    <t>1210-001</t>
  </si>
  <si>
    <t>جرداء بني علي</t>
  </si>
  <si>
    <t>1210-002</t>
  </si>
  <si>
    <t>الجرين</t>
  </si>
  <si>
    <t>1210-003</t>
  </si>
  <si>
    <t>وادي رما</t>
  </si>
  <si>
    <t>1210-004</t>
  </si>
  <si>
    <t>بني عطا</t>
  </si>
  <si>
    <t>1301-001</t>
  </si>
  <si>
    <t>صوير</t>
  </si>
  <si>
    <t>1301-002</t>
  </si>
  <si>
    <t>خوعاء</t>
  </si>
  <si>
    <t>1301-003</t>
  </si>
  <si>
    <t>الفياض</t>
  </si>
  <si>
    <t>1301-004</t>
  </si>
  <si>
    <t>عذفاء</t>
  </si>
  <si>
    <t>1301-005</t>
  </si>
  <si>
    <t>1301-006</t>
  </si>
  <si>
    <t>طلعة عمار</t>
  </si>
  <si>
    <t>1301-007</t>
  </si>
  <si>
    <t>زلوم</t>
  </si>
  <si>
    <t>1301-008</t>
  </si>
  <si>
    <t>أم إذان بخوعاء</t>
  </si>
  <si>
    <t>approximate (governorate centre, ±166km)</t>
  </si>
  <si>
    <t>1301-009</t>
  </si>
  <si>
    <t>الشويحطيه</t>
  </si>
  <si>
    <t>1301-010</t>
  </si>
  <si>
    <t>الرفيعة</t>
  </si>
  <si>
    <t>1301-011</t>
  </si>
  <si>
    <t>هديب</t>
  </si>
  <si>
    <t>1301-012</t>
  </si>
  <si>
    <t>1301-013</t>
  </si>
  <si>
    <t>1301-014</t>
  </si>
  <si>
    <t>غديرالخيل</t>
  </si>
  <si>
    <t>1302-001</t>
  </si>
  <si>
    <t>الحديثة</t>
  </si>
  <si>
    <t>1302-002</t>
  </si>
  <si>
    <t>العيساويه</t>
  </si>
  <si>
    <t>1302-003</t>
  </si>
  <si>
    <t>عين الحواس</t>
  </si>
  <si>
    <t>approximate (governorate centre, ±122km)</t>
  </si>
  <si>
    <t>1302-004</t>
  </si>
  <si>
    <t>1302-005</t>
  </si>
  <si>
    <t>الحماد</t>
  </si>
  <si>
    <t>1302-006</t>
  </si>
  <si>
    <t>الوادى</t>
  </si>
  <si>
    <t>1302-007</t>
  </si>
  <si>
    <t>قليب خضر</t>
  </si>
  <si>
    <t>1302-008</t>
  </si>
  <si>
    <t>رديفة الجماجم</t>
  </si>
  <si>
    <t>1303-001</t>
  </si>
  <si>
    <t>ابو عجرم</t>
  </si>
  <si>
    <t>1303-002</t>
  </si>
  <si>
    <t>الآضارع</t>
  </si>
  <si>
    <t>1303-003</t>
  </si>
  <si>
    <t>أصفان</t>
  </si>
  <si>
    <t>1303-004</t>
  </si>
  <si>
    <t>1303-005</t>
  </si>
  <si>
    <t>الرديفه</t>
  </si>
  <si>
    <t>1304-001</t>
  </si>
  <si>
    <t>النبك ابوقصر</t>
  </si>
  <si>
    <t>1304-002</t>
  </si>
  <si>
    <t>بسيطاء</t>
  </si>
  <si>
    <t>1304-003</t>
  </si>
  <si>
    <t>الثنية</t>
  </si>
  <si>
    <t>approximate (governorate centre, ±137km)</t>
  </si>
  <si>
    <t>1304-004</t>
  </si>
  <si>
    <t>صبيحا</t>
  </si>
  <si>
    <t>1304-005</t>
  </si>
  <si>
    <t>ميقوع</t>
  </si>
  <si>
    <t>1304-006</t>
  </si>
  <si>
    <t>ثنيه ام نخيله</t>
  </si>
  <si>
    <t>#</t>
  </si>
  <si>
    <t xml:space="preserve">الوصف / الاستخدام
Description &amp; intended use</t>
  </si>
  <si>
    <t xml:space="preserve">الرابط
URL</t>
  </si>
  <si>
    <t>نظام المناطق — الأمر الملكي رقم (أ/92) وتعديله (أ/21)</t>
  </si>
  <si>
    <t>الأساس النظامي للتقسيم الإداري: المناطق والمحافظات فئة (أ) و(ب) والمراكز. المرجع: المركز الوطني للوثائق والمحفوظات</t>
  </si>
  <si>
    <t>https://ncar.gov.sa</t>
  </si>
  <si>
    <t>وزارة الداخلية — وكالة الوزارة لشؤون المناطق: الإمارات ومحافظاتها</t>
  </si>
  <si>
    <t>القائمة الرسمية للمحافظات التابعة لكل إمارة منطقة</t>
  </si>
  <si>
    <t>https://www.moi.gov.sa</t>
  </si>
  <si>
    <t>دليل ترميز المناطق والمحافظات والمراكز — المركز الوطني للسجلات (NCAR)</t>
  </si>
  <si>
    <t>الترميز الرسمي المعتمد للمناطق والمحافظات والمراكز — يُوصى باعتماده كمعرّف نهائي في قاعدة البيانات</t>
  </si>
  <si>
    <t>http://ncar.gov.sa/Encoding/Region</t>
  </si>
  <si>
    <t>الهيئة العامة للإحصاء (GASTAT) — إحصاءات الخدمات الحكومية وتعداد 2022</t>
  </si>
  <si>
    <t>مصدر أعداد المحافظات والمراكز وفئاتها (الجدول 33) وبيانات السكان لكل تقسيم إداري</t>
  </si>
  <si>
    <t>https://www.stats.gov.sa/en/97</t>
  </si>
  <si>
    <t>OpenStreetMap Wiki — قائمة محافظات ومراكز السعودية (المستند إلى بيانات وزارة الداخلية وGASTAT)</t>
  </si>
  <si>
    <t>القائمة التفصيلية المستخدمة في هذا الملف (1,554 وحدة: محافظات ومراكز بفئاتها)، بصيغة قابلة للمعالجة</t>
  </si>
  <si>
    <t>https://wiki.openstreetmap.org/wiki/List_of_governorates_of_Saudi_Arabia</t>
  </si>
  <si>
    <t>سعوديبيديا — التقسيم الإداري للسعودية</t>
  </si>
  <si>
    <t>مرجع توثيقي حديث: 13 منطقة، 150 محافظة، والمراكز؛ يوثّق آلية استحداث المحافظات والمراكز</t>
  </si>
  <si>
    <t>https://saudipedia.com</t>
  </si>
  <si>
    <t>البوابة الوطنية للبيانات المفتوحة</t>
  </si>
  <si>
    <t>مجموعات بيانات حكومية مفتوحة للتقسيمات الإدارية والسكان</t>
  </si>
  <si>
    <t>https://open.data.gov.sa</t>
  </si>
  <si>
    <t>geoBoundaries — SAU ADM1/ADM2</t>
  </si>
  <si>
    <t>حدود جغرافية مفتوحة (GeoJSON/Shapefile) للمناطق (ADM1) والمحافظات (ADM2) — مناسبة لبناء طبقات الخريطة</t>
  </si>
  <si>
    <t>https://www.geoboundaries.org/countryDownloads.html</t>
  </si>
  <si>
    <t>HDX / OCHA — Saudi Arabia Administrative Boundaries (COD-AB)</t>
  </si>
  <si>
    <t>حدود إدارية معيارية بأكواد P-codes للربط البرمجي بين الجداول والخرائط</t>
  </si>
  <si>
    <t>https://data.humdata.org/dataset/cod-ab-sau</t>
  </si>
  <si>
    <t>GADM — Saudi Arabia</t>
  </si>
  <si>
    <t>بديل إضافي لحدود المستويين الأول والثاني بصيغ GeoPackage/Shapefile</t>
  </si>
  <si>
    <t>https://gadm.org/download_country.html</t>
  </si>
  <si>
    <t>ISO 3166-2:SA</t>
  </si>
  <si>
    <t>رموز المناطق الدولية المستخدمة في ورقة المناطق (ملاحظة: عسير = SA-14 ولا يوجد SA-13)</t>
  </si>
  <si>
    <t>https://www.iso.org/obp/ui/#iso:code:3166:SA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</si>
</sst>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harset val="1"/>
      <color rgb="FF1F4E4A"/>
      <sz val="13"/>
      <name val="Arial"/>
    </font>
    <font>
      <charset val="1"/>
      <sz val="10"/>
      <name val="Arial"/>
    </font>
    <font>
      <b/>
      <charset val="1"/>
      <sz val="11"/>
      <name val="Arial"/>
    </font>
    <font>
      <b/>
      <charset val="1"/>
      <color rgb="FF145463"/>
      <family val="2"/>
      <sz val="16"/>
      <name val="Arial"/>
    </font>
    <font>
      <i/>
      <charset val="1"/>
      <color rgb="FF262B47"/>
      <family val="2"/>
      <sz val="11"/>
      <name val="Arial"/>
    </font>
    <font>
      <b/>
      <charset val="1"/>
      <color rgb="FFFFFFFF"/>
      <family val="2"/>
      <sz val="11"/>
      <name val="Arial"/>
    </font>
    <font>
      <charset val="1"/>
      <family val="2"/>
      <sz val="10"/>
      <name val="Arial"/>
    </font>
    <font>
      <b/>
      <charset val="1"/>
      <color rgb="FFFFFFFF"/>
      <family val="2"/>
      <sz val="10"/>
      <name val="Arial"/>
    </font>
    <font>
      <b/>
      <charset val="1"/>
      <color rgb="FFFFFFFF"/>
      <sz val="11"/>
      <name val="Arial"/>
    </font>
    <font>
      <u/>
      <charset val="1"/>
      <color rgb="FF4080AB"/>
      <family val="2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45463"/>
        <bgColor rgb="FF1F4E4A"/>
      </patternFill>
    </fill>
    <fill>
      <patternFill patternType="solid">
        <fgColor rgb="FFF5F7F7"/>
        <bgColor rgb="FFFFFFFF"/>
      </patternFill>
    </fill>
    <fill>
      <patternFill patternType="solid">
        <fgColor rgb="FF262B47"/>
        <bgColor rgb="FF1F4E4A"/>
      </patternFill>
    </fill>
    <fill>
      <patternFill patternType="solid">
        <fgColor rgb="FF59A694"/>
        <bgColor rgb="FF4080A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9D6D6"/>
      </left>
      <right style="thin">
        <color rgb="FFC9D6D6"/>
      </right>
      <top style="thin">
        <color rgb="FFC9D6D6"/>
      </top>
      <bottom style="thin">
        <color rgb="FFC9D6D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ncar.gov.sa/" TargetMode="External"/><Relationship Id="rId2" Type="http://schemas.openxmlformats.org/officeDocument/2006/relationships/hyperlink" Target="https://www.moi.gov.sa/" TargetMode="External"/><Relationship Id="rId3" Type="http://schemas.openxmlformats.org/officeDocument/2006/relationships/hyperlink" Target="http://ncar.gov.sa/Encoding/Region" TargetMode="External"/><Relationship Id="rId4" Type="http://schemas.openxmlformats.org/officeDocument/2006/relationships/hyperlink" Target="https://www.stats.gov.sa/en/97" TargetMode="External"/><Relationship Id="rId5" Type="http://schemas.openxmlformats.org/officeDocument/2006/relationships/hyperlink" Target="https://wiki.openstreetmap.org/wiki/List_of_governorates_of_Saudi_Arabia" TargetMode="External"/><Relationship Id="rId6" Type="http://schemas.openxmlformats.org/officeDocument/2006/relationships/hyperlink" Target="https://saudipedia.com/" TargetMode="External"/><Relationship Id="rId7" Type="http://schemas.openxmlformats.org/officeDocument/2006/relationships/hyperlink" Target="https://open.data.gov.sa/" TargetMode="External"/><Relationship Id="rId8" Type="http://schemas.openxmlformats.org/officeDocument/2006/relationships/hyperlink" Target="https://www.geoboundaries.org/countryDownloads.html" TargetMode="External"/><Relationship Id="rId9" Type="http://schemas.openxmlformats.org/officeDocument/2006/relationships/hyperlink" Target="https://data.humdata.org/dataset/cod-ab-sau" TargetMode="External"/><Relationship Id="rId10" Type="http://schemas.openxmlformats.org/officeDocument/2006/relationships/hyperlink" Target="https://gadm.org/download_country.html" TargetMode="External"/><Relationship Id="rId11" Type="http://schemas.openxmlformats.org/officeDocument/2006/relationships/hyperlink" Target="https://www.iso.org/obp/u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 zoomScale="100" zoomScaleNormal="100">
      <selection activeCell="A5" sqref="A5"/>
    </sheetView>
  </sheetViews>
  <sheetFormatPr defaultRowHeight="15" outlineLevelRow="0" outlineLevelCol="0" x14ac:dyDescent="0" defaultColWidth="8.7109375"/>
  <cols>
    <col min="1" max="1" width="110" customWidth="1"/>
  </cols>
  <sheetData>
    <row r="1" ht="15.75" customHeight="1" spans="1:1" x14ac:dyDescent="0.25">
      <c r="A1" s="1" t="s">
        <v>0</v>
      </c>
    </row>
    <row r="2" ht="15" customHeight="1" spans="1:1" x14ac:dyDescent="0.25">
      <c r="A2" s="2"/>
    </row>
    <row r="3" ht="15" customHeight="1" spans="1:1" x14ac:dyDescent="0.25">
      <c r="A3" s="3" t="s">
        <v>1</v>
      </c>
    </row>
    <row r="4" ht="37.5" customHeight="1" spans="1:1" x14ac:dyDescent="0.25">
      <c r="A4" s="4" t="s">
        <v>2</v>
      </c>
    </row>
    <row r="5" ht="15" customHeight="1" spans="1:1" x14ac:dyDescent="0.25">
      <c r="A5" s="2"/>
    </row>
    <row r="6" ht="15" customHeight="1" spans="1:1" x14ac:dyDescent="0.25">
      <c r="A6" s="5" t="s">
        <v>3</v>
      </c>
    </row>
    <row r="7" ht="48" customHeight="1" spans="1:1" x14ac:dyDescent="0.25">
      <c r="A7" s="2" t="s">
        <v>4</v>
      </c>
    </row>
    <row r="8" ht="30" customHeight="1" spans="1:1" x14ac:dyDescent="0.25">
      <c r="A8" s="2" t="s">
        <v>5</v>
      </c>
    </row>
    <row r="9" ht="15" customHeight="1" spans="1:1" x14ac:dyDescent="0.25">
      <c r="A9" s="2"/>
    </row>
    <row r="10" ht="15" customHeight="1" spans="1:1" x14ac:dyDescent="0.25">
      <c r="A10" s="5" t="s">
        <v>6</v>
      </c>
    </row>
    <row r="11" ht="45.75" customHeight="1" spans="1:1" x14ac:dyDescent="0.25">
      <c r="A11" s="2" t="s">
        <v>7</v>
      </c>
    </row>
    <row r="12" ht="30" customHeight="1" spans="1:1" x14ac:dyDescent="0.25">
      <c r="A12" s="2" t="s">
        <v>8</v>
      </c>
    </row>
    <row r="13" ht="41.25" customHeight="1" spans="1:1" x14ac:dyDescent="0.25">
      <c r="A13" s="2" t="s">
        <v>9</v>
      </c>
    </row>
    <row r="14" ht="30" customHeight="1" spans="1:1" x14ac:dyDescent="0.25">
      <c r="A14" s="2" t="s">
        <v>10</v>
      </c>
    </row>
    <row r="15" ht="15" customHeight="1" spans="1:1" x14ac:dyDescent="0.25">
      <c r="A15" s="2"/>
    </row>
    <row r="16" ht="15" customHeight="1" spans="1:1" x14ac:dyDescent="0.25">
      <c r="A16" s="5" t="s">
        <v>11</v>
      </c>
    </row>
    <row r="17" ht="55.5" customHeight="1" spans="1:1" x14ac:dyDescent="0.25">
      <c r="A17" s="2" t="s">
        <v>12</v>
      </c>
    </row>
    <row r="18" ht="15" customHeight="1" spans="1:1" x14ac:dyDescent="0.25">
      <c r="A18" s="2"/>
    </row>
    <row r="19" ht="15" customHeight="1" spans="1:1" x14ac:dyDescent="0.25">
      <c r="A19" s="5" t="s">
        <v>13</v>
      </c>
    </row>
    <row r="20" ht="32.25" customHeight="1" spans="1:1" x14ac:dyDescent="0.25">
      <c r="A20" s="2" t="s">
        <v>14</v>
      </c>
    </row>
    <row r="21" ht="30" customHeight="1" spans="1:1" x14ac:dyDescent="0.25">
      <c r="A21" s="5" t="s">
        <v>15</v>
      </c>
    </row>
    <row r="22" ht="81.75" customHeight="1" spans="1:1" x14ac:dyDescent="0.25">
      <c r="A22" s="2" t="s">
        <v>16</v>
      </c>
    </row>
    <row r="23" spans="1:1" x14ac:dyDescent="0.25">
      <c r="A23" s="2"/>
    </row>
    <row r="24" ht="30" customHeight="1" spans="1:1" x14ac:dyDescent="0.25">
      <c r="A24" s="5" t="s">
        <v>17</v>
      </c>
    </row>
    <row r="25" ht="71.25" customHeight="1" spans="1:1" x14ac:dyDescent="0.25">
      <c r="A25" s="2" t="s">
        <v>18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workbookViewId="0" rightToLeft="1" showGridLines="0" zoomScale="114" zoomScaleNormal="114">
      <selection activeCell="C5" sqref="C5"/>
    </sheetView>
  </sheetViews>
  <sheetFormatPr defaultRowHeight="15" outlineLevelRow="0" outlineLevelCol="0" x14ac:dyDescent="0" defaultColWidth="8.7109375"/>
  <cols>
    <col min="2" max="2" width="30" customWidth="1"/>
    <col min="3" max="3" width="110" customWidth="1"/>
  </cols>
  <sheetData>
    <row r="2" ht="19.5" customHeight="1" spans="2:2" x14ac:dyDescent="0.25">
      <c r="B2" s="6" t="s">
        <v>19</v>
      </c>
    </row>
    <row r="3" ht="15" customHeight="1" spans="2:2" x14ac:dyDescent="0.25">
      <c r="B3" s="7" t="s">
        <v>20</v>
      </c>
    </row>
    <row r="5" ht="48" customHeight="1" spans="2:3" x14ac:dyDescent="0.25">
      <c r="B5" s="8" t="s">
        <v>21</v>
      </c>
      <c r="C5" s="9" t="s">
        <v>22</v>
      </c>
    </row>
    <row r="6" ht="48" customHeight="1" spans="2:3" x14ac:dyDescent="0.25">
      <c r="B6" s="8" t="s">
        <v>23</v>
      </c>
      <c r="C6" s="9" t="s">
        <v>24</v>
      </c>
    </row>
    <row r="7" ht="63.75" customHeight="1" spans="2:3" x14ac:dyDescent="0.25">
      <c r="B7" s="8" t="s">
        <v>25</v>
      </c>
      <c r="C7" s="9" t="s">
        <v>26</v>
      </c>
    </row>
    <row r="8" ht="63.75" customHeight="1" spans="2:3" x14ac:dyDescent="0.25">
      <c r="B8" s="8" t="s">
        <v>27</v>
      </c>
      <c r="C8" s="9" t="s">
        <v>28</v>
      </c>
    </row>
    <row r="9" ht="79.5" customHeight="1" spans="2:3" x14ac:dyDescent="0.25">
      <c r="B9" s="8" t="s">
        <v>29</v>
      </c>
      <c r="C9" s="9" t="s">
        <v>30</v>
      </c>
    </row>
    <row r="10" ht="79.5" customHeight="1" spans="2:3" x14ac:dyDescent="0.25">
      <c r="B10" s="8" t="s">
        <v>31</v>
      </c>
      <c r="C10" s="9" t="s">
        <v>32</v>
      </c>
    </row>
    <row r="11" ht="33.75" customHeight="1" spans="2:3" x14ac:dyDescent="0.25">
      <c r="B11" s="8" t="s">
        <v>33</v>
      </c>
      <c r="C11" s="9" t="s">
        <v>34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 rightToLeft="1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 defaultColWidth="8.7109375"/>
  <cols>
    <col min="1" max="1" width="12" customWidth="1"/>
    <col min="2" max="2" width="22" customWidth="1"/>
    <col min="3" max="3" width="24" customWidth="1"/>
    <col min="4" max="4" width="14" customWidth="1"/>
    <col min="5" max="5" width="26" customWidth="1"/>
    <col min="6" max="6" width="16" customWidth="1"/>
    <col min="7" max="7" width="14" customWidth="1"/>
    <col min="8" max="9" width="12" customWidth="1"/>
  </cols>
  <sheetData>
    <row r="1" ht="33.75" customHeight="1" spans="1:9" x14ac:dyDescent="0.25">
      <c r="A1" s="10" t="s">
        <v>35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40</v>
      </c>
      <c r="G1" s="10" t="s">
        <v>41</v>
      </c>
      <c r="H1" s="10" t="s">
        <v>42</v>
      </c>
      <c r="I1" s="10" t="s">
        <v>43</v>
      </c>
    </row>
    <row r="2" ht="15" customHeight="1" spans="1:9" x14ac:dyDescent="0.25">
      <c r="A2" s="11">
        <v>1</v>
      </c>
      <c r="B2" s="12" t="s">
        <v>44</v>
      </c>
      <c r="C2" s="11" t="s">
        <v>45</v>
      </c>
      <c r="D2" s="11" t="s">
        <v>46</v>
      </c>
      <c r="E2" s="12" t="s">
        <v>44</v>
      </c>
      <c r="F2" s="11" t="s">
        <v>45</v>
      </c>
      <c r="G2" s="11">
        <f>COUNTIF('المحافظات Governorates'!C:C,B2)</f>
        <v>23</v>
      </c>
      <c r="H2" s="11">
        <f>COUNTIF('المراكز Centers'!C:C,B2)</f>
        <v>417</v>
      </c>
      <c r="I2" s="11">
        <f>G2+H2</f>
        <v>440</v>
      </c>
    </row>
    <row r="3" ht="15" customHeight="1" spans="1:9" x14ac:dyDescent="0.25">
      <c r="A3" s="13">
        <v>2</v>
      </c>
      <c r="B3" s="14" t="s">
        <v>47</v>
      </c>
      <c r="C3" s="13" t="s">
        <v>48</v>
      </c>
      <c r="D3" s="13" t="s">
        <v>49</v>
      </c>
      <c r="E3" s="14" t="s">
        <v>47</v>
      </c>
      <c r="F3" s="13" t="s">
        <v>50</v>
      </c>
      <c r="G3" s="13">
        <f>COUNTIF('المحافظات Governorates'!C:C,B3)</f>
        <v>17</v>
      </c>
      <c r="H3" s="13">
        <f>COUNTIF('المراكز Centers'!C:C,B3)</f>
        <v>126</v>
      </c>
      <c r="I3" s="13">
        <f>G3+H3</f>
        <v>143</v>
      </c>
    </row>
    <row r="4" ht="15" customHeight="1" spans="1:9" x14ac:dyDescent="0.25">
      <c r="A4" s="11">
        <v>3</v>
      </c>
      <c r="B4" s="12" t="s">
        <v>51</v>
      </c>
      <c r="C4" s="11" t="s">
        <v>52</v>
      </c>
      <c r="D4" s="11" t="s">
        <v>53</v>
      </c>
      <c r="E4" s="12" t="s">
        <v>51</v>
      </c>
      <c r="F4" s="11" t="s">
        <v>54</v>
      </c>
      <c r="G4" s="11">
        <f>COUNTIF('المحافظات Governorates'!C:C,B4)</f>
        <v>9</v>
      </c>
      <c r="H4" s="11">
        <f>COUNTIF('المراكز Centers'!C:C,B4)</f>
        <v>102</v>
      </c>
      <c r="I4" s="11">
        <f>G4+H4</f>
        <v>111</v>
      </c>
    </row>
    <row r="5" ht="15" customHeight="1" spans="1:9" x14ac:dyDescent="0.25">
      <c r="A5" s="13">
        <v>4</v>
      </c>
      <c r="B5" s="14" t="s">
        <v>55</v>
      </c>
      <c r="C5" s="13" t="s">
        <v>56</v>
      </c>
      <c r="D5" s="13" t="s">
        <v>57</v>
      </c>
      <c r="E5" s="14" t="s">
        <v>58</v>
      </c>
      <c r="F5" s="13" t="s">
        <v>59</v>
      </c>
      <c r="G5" s="13">
        <f>COUNTIF('المحافظات Governorates'!C:C,B5)</f>
        <v>13</v>
      </c>
      <c r="H5" s="13">
        <f>COUNTIF('المراكز Centers'!C:C,B5)</f>
        <v>141</v>
      </c>
      <c r="I5" s="13">
        <f>G5+H5</f>
        <v>154</v>
      </c>
    </row>
    <row r="6" ht="15" customHeight="1" spans="1:9" x14ac:dyDescent="0.25">
      <c r="A6" s="11">
        <v>5</v>
      </c>
      <c r="B6" s="12" t="s">
        <v>60</v>
      </c>
      <c r="C6" s="11" t="s">
        <v>61</v>
      </c>
      <c r="D6" s="11" t="s">
        <v>62</v>
      </c>
      <c r="E6" s="12" t="s">
        <v>63</v>
      </c>
      <c r="F6" s="11" t="s">
        <v>64</v>
      </c>
      <c r="G6" s="11">
        <f>COUNTIF('المحافظات Governorates'!C:C,B6)</f>
        <v>12</v>
      </c>
      <c r="H6" s="11">
        <f>COUNTIF('المراكز Centers'!C:C,B6)</f>
        <v>111</v>
      </c>
      <c r="I6" s="11">
        <f>G6+H6</f>
        <v>123</v>
      </c>
    </row>
    <row r="7" ht="15" customHeight="1" spans="1:9" x14ac:dyDescent="0.25">
      <c r="A7" s="13">
        <v>6</v>
      </c>
      <c r="B7" s="14" t="s">
        <v>65</v>
      </c>
      <c r="C7" s="13" t="s">
        <v>66</v>
      </c>
      <c r="D7" s="13" t="s">
        <v>67</v>
      </c>
      <c r="E7" s="14" t="s">
        <v>68</v>
      </c>
      <c r="F7" s="13" t="s">
        <v>69</v>
      </c>
      <c r="G7" s="13">
        <f>COUNTIF('المحافظات Governorates'!C:C,B7)</f>
        <v>18</v>
      </c>
      <c r="H7" s="13">
        <f>COUNTIF('المراكز Centers'!C:C,B7)</f>
        <v>122</v>
      </c>
      <c r="I7" s="13">
        <f>G7+H7</f>
        <v>140</v>
      </c>
    </row>
    <row r="8" ht="15" customHeight="1" spans="1:9" x14ac:dyDescent="0.25">
      <c r="A8" s="11">
        <v>7</v>
      </c>
      <c r="B8" s="12" t="s">
        <v>70</v>
      </c>
      <c r="C8" s="11" t="s">
        <v>71</v>
      </c>
      <c r="D8" s="11" t="s">
        <v>72</v>
      </c>
      <c r="E8" s="12" t="s">
        <v>70</v>
      </c>
      <c r="F8" s="11" t="s">
        <v>71</v>
      </c>
      <c r="G8" s="11">
        <f>COUNTIF('المحافظات Governorates'!C:C,B8)</f>
        <v>7</v>
      </c>
      <c r="H8" s="11">
        <f>COUNTIF('المراكز Centers'!C:C,B8)</f>
        <v>85</v>
      </c>
      <c r="I8" s="11">
        <f>G8+H8</f>
        <v>92</v>
      </c>
    </row>
    <row r="9" ht="15" customHeight="1" spans="1:9" x14ac:dyDescent="0.25">
      <c r="A9" s="13">
        <v>8</v>
      </c>
      <c r="B9" s="14" t="s">
        <v>73</v>
      </c>
      <c r="C9" s="13" t="s">
        <v>74</v>
      </c>
      <c r="D9" s="13" t="s">
        <v>75</v>
      </c>
      <c r="E9" s="14" t="s">
        <v>73</v>
      </c>
      <c r="F9" s="13" t="s">
        <v>74</v>
      </c>
      <c r="G9" s="13">
        <f>COUNTIF('المحافظات Governorates'!C:C,B9)</f>
        <v>9</v>
      </c>
      <c r="H9" s="13">
        <f>COUNTIF('المراكز Centers'!C:C,B9)</f>
        <v>107</v>
      </c>
      <c r="I9" s="13">
        <f>G9+H9</f>
        <v>116</v>
      </c>
    </row>
    <row r="10" ht="15" customHeight="1" spans="1:9" x14ac:dyDescent="0.25">
      <c r="A10" s="11">
        <v>9</v>
      </c>
      <c r="B10" s="12" t="s">
        <v>76</v>
      </c>
      <c r="C10" s="11" t="s">
        <v>77</v>
      </c>
      <c r="D10" s="11" t="s">
        <v>78</v>
      </c>
      <c r="E10" s="12" t="s">
        <v>79</v>
      </c>
      <c r="F10" s="11" t="s">
        <v>80</v>
      </c>
      <c r="G10" s="11">
        <f>COUNTIF('المحافظات Governorates'!C:C,B10)</f>
        <v>4</v>
      </c>
      <c r="H10" s="11">
        <f>COUNTIF('المراكز Centers'!C:C,B10)</f>
        <v>28</v>
      </c>
      <c r="I10" s="11">
        <f>G10+H10</f>
        <v>32</v>
      </c>
    </row>
    <row r="11" ht="15" customHeight="1" spans="1:9" x14ac:dyDescent="0.25">
      <c r="A11" s="13">
        <v>10</v>
      </c>
      <c r="B11" s="14" t="s">
        <v>81</v>
      </c>
      <c r="C11" s="13" t="s">
        <v>82</v>
      </c>
      <c r="D11" s="13" t="s">
        <v>83</v>
      </c>
      <c r="E11" s="14" t="s">
        <v>81</v>
      </c>
      <c r="F11" s="13" t="s">
        <v>82</v>
      </c>
      <c r="G11" s="13">
        <f>COUNTIF('المحافظات Governorates'!C:C,B11)</f>
        <v>17</v>
      </c>
      <c r="H11" s="13">
        <f>COUNTIF('المراكز Centers'!C:C,B11)</f>
        <v>39</v>
      </c>
      <c r="I11" s="13">
        <f>G11+H11</f>
        <v>56</v>
      </c>
    </row>
    <row r="12" ht="15" customHeight="1" spans="1:9" x14ac:dyDescent="0.25">
      <c r="A12" s="11">
        <v>11</v>
      </c>
      <c r="B12" s="12" t="s">
        <v>84</v>
      </c>
      <c r="C12" s="11" t="s">
        <v>85</v>
      </c>
      <c r="D12" s="11" t="s">
        <v>86</v>
      </c>
      <c r="E12" s="12" t="s">
        <v>84</v>
      </c>
      <c r="F12" s="11" t="s">
        <v>85</v>
      </c>
      <c r="G12" s="11">
        <f>COUNTIF('المحافظات Governorates'!C:C,B12)</f>
        <v>7</v>
      </c>
      <c r="H12" s="11">
        <f>COUNTIF('المراكز Centers'!C:C,B12)</f>
        <v>51</v>
      </c>
      <c r="I12" s="11">
        <f>G12+H12</f>
        <v>58</v>
      </c>
    </row>
    <row r="13" ht="15" customHeight="1" spans="1:9" x14ac:dyDescent="0.25">
      <c r="A13" s="13">
        <v>12</v>
      </c>
      <c r="B13" s="14" t="s">
        <v>87</v>
      </c>
      <c r="C13" s="13" t="s">
        <v>88</v>
      </c>
      <c r="D13" s="13" t="s">
        <v>89</v>
      </c>
      <c r="E13" s="14" t="s">
        <v>87</v>
      </c>
      <c r="F13" s="13" t="s">
        <v>88</v>
      </c>
      <c r="G13" s="13">
        <f>COUNTIF('المحافظات Governorates'!C:C,B13)</f>
        <v>10</v>
      </c>
      <c r="H13" s="13">
        <f>COUNTIF('المراكز Centers'!C:C,B13)</f>
        <v>42</v>
      </c>
      <c r="I13" s="13">
        <f>G13+H13</f>
        <v>52</v>
      </c>
    </row>
    <row r="14" ht="15" customHeight="1" spans="1:9" x14ac:dyDescent="0.25">
      <c r="A14" s="11">
        <v>13</v>
      </c>
      <c r="B14" s="12" t="s">
        <v>90</v>
      </c>
      <c r="C14" s="11" t="s">
        <v>91</v>
      </c>
      <c r="D14" s="11" t="s">
        <v>92</v>
      </c>
      <c r="E14" s="12" t="s">
        <v>93</v>
      </c>
      <c r="F14" s="11" t="s">
        <v>94</v>
      </c>
      <c r="G14" s="11">
        <f>COUNTIF('المحافظات Governorates'!C:C,B14)</f>
        <v>4</v>
      </c>
      <c r="H14" s="11">
        <f>COUNTIF('المراكز Centers'!C:C,B14)</f>
        <v>33</v>
      </c>
      <c r="I14" s="11">
        <f>G14+H14</f>
        <v>37</v>
      </c>
    </row>
    <row r="15" ht="15" customHeight="1" spans="1:9" x14ac:dyDescent="0.25">
      <c r="A15" s="15"/>
      <c r="B15" s="15" t="s">
        <v>95</v>
      </c>
      <c r="C15" s="15"/>
      <c r="D15" s="15"/>
      <c r="E15" s="15"/>
      <c r="F15" s="15"/>
      <c r="G15" s="15">
        <f>SUM(G2:G14)</f>
        <v>150</v>
      </c>
      <c r="H15" s="15">
        <f>SUM(H2:H14)</f>
        <v>1404</v>
      </c>
      <c r="I15" s="15">
        <f>SUM(I2:I14)</f>
        <v>1554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workbookViewId="0" rightToLeft="1" zoomScale="100" zoomScaleNormal="100">
      <pane ySplit="1" topLeftCell="A151" activePane="bottomLeft" state="frozen"/>
      <selection pane="bottomLeft"/>
    </sheetView>
  </sheetViews>
  <sheetFormatPr defaultRowHeight="15" outlineLevelRow="0" outlineLevelCol="0" x14ac:dyDescent="0" defaultColWidth="8.7109375"/>
  <cols>
    <col min="1" max="1" width="12" customWidth="1"/>
    <col min="2" max="2" width="11" customWidth="1"/>
    <col min="3" max="3" width="20" customWidth="1"/>
    <col min="4" max="5" width="26" customWidth="1"/>
    <col min="6" max="7" width="20" customWidth="1"/>
    <col min="8" max="8" width="13" customWidth="1"/>
    <col min="9" max="9" width="44" customWidth="1"/>
    <col min="10" max="12" width="24" customWidth="1"/>
  </cols>
  <sheetData>
    <row r="1" ht="33.75" customHeight="1" spans="1:12" x14ac:dyDescent="0.25">
      <c r="A1" s="10" t="s">
        <v>96</v>
      </c>
      <c r="B1" s="10" t="s">
        <v>35</v>
      </c>
      <c r="C1" s="10" t="s">
        <v>36</v>
      </c>
      <c r="D1" s="10" t="s">
        <v>97</v>
      </c>
      <c r="E1" s="10" t="s">
        <v>98</v>
      </c>
      <c r="F1" s="10" t="s">
        <v>99</v>
      </c>
      <c r="G1" s="10" t="s">
        <v>100</v>
      </c>
      <c r="H1" s="10" t="s">
        <v>101</v>
      </c>
      <c r="I1" s="10" t="s">
        <v>102</v>
      </c>
      <c r="J1" s="16" t="s">
        <v>103</v>
      </c>
      <c r="K1" s="16" t="s">
        <v>104</v>
      </c>
      <c r="L1" s="16" t="s">
        <v>105</v>
      </c>
    </row>
    <row r="2" ht="15" customHeight="1" spans="1:12" x14ac:dyDescent="0.25">
      <c r="A2" s="11" t="s">
        <v>106</v>
      </c>
      <c r="B2" s="11">
        <v>1</v>
      </c>
      <c r="C2" s="12" t="s">
        <v>44</v>
      </c>
      <c r="D2" s="12" t="s">
        <v>44</v>
      </c>
      <c r="E2" s="12" t="s">
        <v>45</v>
      </c>
      <c r="F2" s="11" t="s">
        <v>107</v>
      </c>
      <c r="G2" s="11" t="s">
        <v>108</v>
      </c>
      <c r="H2" s="11">
        <f>COUNTIF('المراكز Centers'!D:D,A2)</f>
        <v>6</v>
      </c>
      <c r="I2" s="12"/>
      <c r="J2" s="17">
        <v>24.7136</v>
      </c>
      <c r="K2" s="17">
        <v>46.6753</v>
      </c>
      <c r="L2" s="17" t="s">
        <v>109</v>
      </c>
    </row>
    <row r="3" ht="15" customHeight="1" spans="1:12" x14ac:dyDescent="0.25">
      <c r="A3" s="13" t="s">
        <v>110</v>
      </c>
      <c r="B3" s="13">
        <v>1</v>
      </c>
      <c r="C3" s="14" t="s">
        <v>44</v>
      </c>
      <c r="D3" s="14" t="s">
        <v>111</v>
      </c>
      <c r="E3" s="14" t="s">
        <v>112</v>
      </c>
      <c r="F3" s="13" t="s">
        <v>113</v>
      </c>
      <c r="G3" s="13" t="s">
        <v>114</v>
      </c>
      <c r="H3" s="13">
        <f>COUNTIF('المراكز Centers'!D:D,A3)</f>
        <v>6</v>
      </c>
      <c r="I3" s="14"/>
      <c r="J3" s="18"/>
      <c r="K3" s="18"/>
      <c r="L3" s="18"/>
    </row>
    <row r="4" ht="15" customHeight="1" spans="1:12" x14ac:dyDescent="0.25">
      <c r="A4" s="11" t="s">
        <v>115</v>
      </c>
      <c r="B4" s="11">
        <v>1</v>
      </c>
      <c r="C4" s="12" t="s">
        <v>44</v>
      </c>
      <c r="D4" s="12" t="s">
        <v>116</v>
      </c>
      <c r="E4" s="12" t="s">
        <v>117</v>
      </c>
      <c r="F4" s="11" t="s">
        <v>113</v>
      </c>
      <c r="G4" s="11" t="s">
        <v>114</v>
      </c>
      <c r="H4" s="11">
        <f>COUNTIF('المراكز Centers'!D:D,A4)</f>
        <v>20</v>
      </c>
      <c r="I4" s="12"/>
      <c r="J4" s="18"/>
      <c r="K4" s="18"/>
      <c r="L4" s="18"/>
    </row>
    <row r="5" ht="15" customHeight="1" spans="1:12" x14ac:dyDescent="0.25">
      <c r="A5" s="13" t="s">
        <v>118</v>
      </c>
      <c r="B5" s="13">
        <v>1</v>
      </c>
      <c r="C5" s="14" t="s">
        <v>44</v>
      </c>
      <c r="D5" s="14" t="s">
        <v>119</v>
      </c>
      <c r="E5" s="14" t="s">
        <v>120</v>
      </c>
      <c r="F5" s="13" t="s">
        <v>113</v>
      </c>
      <c r="G5" s="13" t="s">
        <v>114</v>
      </c>
      <c r="H5" s="13">
        <f>COUNTIF('المراكز Centers'!D:D,A5)</f>
        <v>104</v>
      </c>
      <c r="I5" s="14"/>
      <c r="J5" s="17">
        <v>24.50772</v>
      </c>
      <c r="K5" s="17">
        <v>44.39237</v>
      </c>
      <c r="L5" s="17" t="s">
        <v>121</v>
      </c>
    </row>
    <row r="6" ht="15" customHeight="1" spans="1:12" x14ac:dyDescent="0.25">
      <c r="A6" s="11" t="s">
        <v>122</v>
      </c>
      <c r="B6" s="11">
        <v>1</v>
      </c>
      <c r="C6" s="12" t="s">
        <v>44</v>
      </c>
      <c r="D6" s="12" t="s">
        <v>123</v>
      </c>
      <c r="E6" s="12" t="s">
        <v>124</v>
      </c>
      <c r="F6" s="11" t="s">
        <v>113</v>
      </c>
      <c r="G6" s="11" t="s">
        <v>114</v>
      </c>
      <c r="H6" s="11">
        <f>COUNTIF('المراكز Centers'!D:D,A6)</f>
        <v>36</v>
      </c>
      <c r="I6" s="12"/>
      <c r="J6" s="18"/>
      <c r="K6" s="18"/>
      <c r="L6" s="18"/>
    </row>
    <row r="7" ht="15" customHeight="1" spans="1:12" x14ac:dyDescent="0.25">
      <c r="A7" s="13" t="s">
        <v>125</v>
      </c>
      <c r="B7" s="13">
        <v>1</v>
      </c>
      <c r="C7" s="14" t="s">
        <v>44</v>
      </c>
      <c r="D7" s="14" t="s">
        <v>126</v>
      </c>
      <c r="E7" s="14" t="s">
        <v>127</v>
      </c>
      <c r="F7" s="13" t="s">
        <v>113</v>
      </c>
      <c r="G7" s="13" t="s">
        <v>114</v>
      </c>
      <c r="H7" s="13">
        <f>COUNTIF('المراكز Centers'!D:D,A7)</f>
        <v>48</v>
      </c>
      <c r="I7" s="14"/>
      <c r="J7" s="18"/>
      <c r="K7" s="18"/>
      <c r="L7" s="18"/>
    </row>
    <row r="8" ht="15" customHeight="1" spans="1:12" x14ac:dyDescent="0.25">
      <c r="A8" s="11" t="s">
        <v>128</v>
      </c>
      <c r="B8" s="11">
        <v>1</v>
      </c>
      <c r="C8" s="12" t="s">
        <v>44</v>
      </c>
      <c r="D8" s="12" t="s">
        <v>129</v>
      </c>
      <c r="E8" s="12" t="s">
        <v>130</v>
      </c>
      <c r="F8" s="11" t="s">
        <v>113</v>
      </c>
      <c r="G8" s="11" t="s">
        <v>114</v>
      </c>
      <c r="H8" s="11">
        <f>COUNTIF('المراكز Centers'!D:D,A8)</f>
        <v>9</v>
      </c>
      <c r="I8" s="12"/>
      <c r="J8" s="18"/>
      <c r="K8" s="18"/>
      <c r="L8" s="18"/>
    </row>
    <row r="9" ht="15" customHeight="1" spans="1:12" x14ac:dyDescent="0.25">
      <c r="A9" s="13" t="s">
        <v>131</v>
      </c>
      <c r="B9" s="13">
        <v>1</v>
      </c>
      <c r="C9" s="14" t="s">
        <v>44</v>
      </c>
      <c r="D9" s="14" t="s">
        <v>132</v>
      </c>
      <c r="E9" s="14" t="s">
        <v>133</v>
      </c>
      <c r="F9" s="13" t="s">
        <v>113</v>
      </c>
      <c r="G9" s="13" t="s">
        <v>114</v>
      </c>
      <c r="H9" s="13">
        <f>COUNTIF('المراكز Centers'!D:D,A9)</f>
        <v>28</v>
      </c>
      <c r="I9" s="14"/>
      <c r="J9" s="18"/>
      <c r="K9" s="18"/>
      <c r="L9" s="18"/>
    </row>
    <row r="10" ht="15" customHeight="1" spans="1:12" x14ac:dyDescent="0.25">
      <c r="A10" s="11" t="s">
        <v>134</v>
      </c>
      <c r="B10" s="11">
        <v>1</v>
      </c>
      <c r="C10" s="12" t="s">
        <v>44</v>
      </c>
      <c r="D10" s="12" t="s">
        <v>135</v>
      </c>
      <c r="E10" s="12" t="s">
        <v>136</v>
      </c>
      <c r="F10" s="11" t="s">
        <v>113</v>
      </c>
      <c r="G10" s="11" t="s">
        <v>114</v>
      </c>
      <c r="H10" s="11">
        <f>COUNTIF('المراكز Centers'!D:D,A10)</f>
        <v>5</v>
      </c>
      <c r="I10" s="12"/>
      <c r="J10" s="18"/>
      <c r="K10" s="18"/>
      <c r="L10" s="18"/>
    </row>
    <row r="11" ht="15" customHeight="1" spans="1:12" x14ac:dyDescent="0.25">
      <c r="A11" s="13" t="s">
        <v>137</v>
      </c>
      <c r="B11" s="13">
        <v>1</v>
      </c>
      <c r="C11" s="14" t="s">
        <v>44</v>
      </c>
      <c r="D11" s="14" t="s">
        <v>138</v>
      </c>
      <c r="E11" s="14" t="s">
        <v>139</v>
      </c>
      <c r="F11" s="13" t="s">
        <v>113</v>
      </c>
      <c r="G11" s="13" t="s">
        <v>114</v>
      </c>
      <c r="H11" s="13">
        <f>COUNTIF('المراكز Centers'!D:D,A11)</f>
        <v>11</v>
      </c>
      <c r="I11" s="14"/>
      <c r="J11" s="18"/>
      <c r="K11" s="18"/>
      <c r="L11" s="18"/>
    </row>
    <row r="12" ht="15" customHeight="1" spans="1:12" x14ac:dyDescent="0.25">
      <c r="A12" s="11" t="s">
        <v>140</v>
      </c>
      <c r="B12" s="11">
        <v>1</v>
      </c>
      <c r="C12" s="12" t="s">
        <v>44</v>
      </c>
      <c r="D12" s="12" t="s">
        <v>141</v>
      </c>
      <c r="E12" s="12" t="s">
        <v>142</v>
      </c>
      <c r="F12" s="11" t="s">
        <v>113</v>
      </c>
      <c r="G12" s="11" t="s">
        <v>114</v>
      </c>
      <c r="H12" s="11">
        <f>COUNTIF('المراكز Centers'!D:D,A12)</f>
        <v>8</v>
      </c>
      <c r="I12" s="12"/>
      <c r="J12" s="18"/>
      <c r="K12" s="18"/>
      <c r="L12" s="18"/>
    </row>
    <row r="13" ht="15" customHeight="1" spans="1:12" x14ac:dyDescent="0.25">
      <c r="A13" s="13" t="s">
        <v>143</v>
      </c>
      <c r="B13" s="13">
        <v>1</v>
      </c>
      <c r="C13" s="14" t="s">
        <v>44</v>
      </c>
      <c r="D13" s="14" t="s">
        <v>144</v>
      </c>
      <c r="E13" s="14" t="s">
        <v>145</v>
      </c>
      <c r="F13" s="13" t="s">
        <v>113</v>
      </c>
      <c r="G13" s="13" t="s">
        <v>114</v>
      </c>
      <c r="H13" s="13">
        <f>COUNTIF('المراكز Centers'!D:D,A13)</f>
        <v>31</v>
      </c>
      <c r="I13" s="14"/>
      <c r="J13" s="18"/>
      <c r="K13" s="18"/>
      <c r="L13" s="18"/>
    </row>
    <row r="14" ht="15" customHeight="1" spans="1:12" x14ac:dyDescent="0.25">
      <c r="A14" s="11" t="s">
        <v>146</v>
      </c>
      <c r="B14" s="11">
        <v>1</v>
      </c>
      <c r="C14" s="12" t="s">
        <v>44</v>
      </c>
      <c r="D14" s="12" t="s">
        <v>147</v>
      </c>
      <c r="E14" s="12" t="s">
        <v>148</v>
      </c>
      <c r="F14" s="11" t="s">
        <v>149</v>
      </c>
      <c r="G14" s="11" t="s">
        <v>150</v>
      </c>
      <c r="H14" s="11">
        <f>COUNTIF('المراكز Centers'!D:D,A14)</f>
        <v>4</v>
      </c>
      <c r="I14" s="12"/>
      <c r="J14" s="18"/>
      <c r="K14" s="18"/>
      <c r="L14" s="18"/>
    </row>
    <row r="15" ht="15" customHeight="1" spans="1:12" x14ac:dyDescent="0.25">
      <c r="A15" s="13" t="s">
        <v>151</v>
      </c>
      <c r="B15" s="13">
        <v>1</v>
      </c>
      <c r="C15" s="14" t="s">
        <v>44</v>
      </c>
      <c r="D15" s="14" t="s">
        <v>152</v>
      </c>
      <c r="E15" s="14" t="s">
        <v>153</v>
      </c>
      <c r="F15" s="13" t="s">
        <v>149</v>
      </c>
      <c r="G15" s="13" t="s">
        <v>150</v>
      </c>
      <c r="H15" s="13">
        <f>COUNTIF('المراكز Centers'!D:D,A15)</f>
        <v>7</v>
      </c>
      <c r="I15" s="14"/>
      <c r="J15" s="18"/>
      <c r="K15" s="18"/>
      <c r="L15" s="18"/>
    </row>
    <row r="16" ht="15" customHeight="1" spans="1:12" x14ac:dyDescent="0.25">
      <c r="A16" s="11" t="s">
        <v>154</v>
      </c>
      <c r="B16" s="11">
        <v>1</v>
      </c>
      <c r="C16" s="12" t="s">
        <v>44</v>
      </c>
      <c r="D16" s="12" t="s">
        <v>155</v>
      </c>
      <c r="E16" s="12" t="s">
        <v>156</v>
      </c>
      <c r="F16" s="11" t="s">
        <v>149</v>
      </c>
      <c r="G16" s="11" t="s">
        <v>150</v>
      </c>
      <c r="H16" s="11">
        <f>COUNTIF('المراكز Centers'!D:D,A16)</f>
        <v>8</v>
      </c>
      <c r="I16" s="12"/>
      <c r="J16" s="18"/>
      <c r="K16" s="18"/>
      <c r="L16" s="18"/>
    </row>
    <row r="17" ht="15" customHeight="1" spans="1:12" x14ac:dyDescent="0.25">
      <c r="A17" s="13" t="s">
        <v>157</v>
      </c>
      <c r="B17" s="13">
        <v>1</v>
      </c>
      <c r="C17" s="14" t="s">
        <v>44</v>
      </c>
      <c r="D17" s="14" t="s">
        <v>158</v>
      </c>
      <c r="E17" s="14" t="s">
        <v>159</v>
      </c>
      <c r="F17" s="13" t="s">
        <v>149</v>
      </c>
      <c r="G17" s="13" t="s">
        <v>150</v>
      </c>
      <c r="H17" s="13">
        <f>COUNTIF('المراكز Centers'!D:D,A17)</f>
        <v>10</v>
      </c>
      <c r="I17" s="14"/>
      <c r="J17" s="18"/>
      <c r="K17" s="18"/>
      <c r="L17" s="18"/>
    </row>
    <row r="18" ht="15" customHeight="1" spans="1:12" x14ac:dyDescent="0.25">
      <c r="A18" s="11" t="s">
        <v>160</v>
      </c>
      <c r="B18" s="11">
        <v>1</v>
      </c>
      <c r="C18" s="12" t="s">
        <v>44</v>
      </c>
      <c r="D18" s="12" t="s">
        <v>161</v>
      </c>
      <c r="E18" s="12" t="s">
        <v>162</v>
      </c>
      <c r="F18" s="11" t="s">
        <v>149</v>
      </c>
      <c r="G18" s="11" t="s">
        <v>150</v>
      </c>
      <c r="H18" s="11">
        <f>COUNTIF('المراكز Centers'!D:D,A18)</f>
        <v>9</v>
      </c>
      <c r="I18" s="12"/>
      <c r="J18" s="18"/>
      <c r="K18" s="18"/>
      <c r="L18" s="18"/>
    </row>
    <row r="19" ht="15" customHeight="1" spans="1:12" x14ac:dyDescent="0.25">
      <c r="A19" s="13" t="s">
        <v>163</v>
      </c>
      <c r="B19" s="13">
        <v>1</v>
      </c>
      <c r="C19" s="14" t="s">
        <v>44</v>
      </c>
      <c r="D19" s="14" t="s">
        <v>164</v>
      </c>
      <c r="E19" s="14" t="s">
        <v>165</v>
      </c>
      <c r="F19" s="13" t="s">
        <v>149</v>
      </c>
      <c r="G19" s="13" t="s">
        <v>150</v>
      </c>
      <c r="H19" s="13">
        <f>COUNTIF('المراكز Centers'!D:D,A19)</f>
        <v>7</v>
      </c>
      <c r="I19" s="14"/>
      <c r="J19" s="18"/>
      <c r="K19" s="18"/>
      <c r="L19" s="18"/>
    </row>
    <row r="20" ht="15" customHeight="1" spans="1:12" x14ac:dyDescent="0.25">
      <c r="A20" s="11" t="s">
        <v>166</v>
      </c>
      <c r="B20" s="11">
        <v>1</v>
      </c>
      <c r="C20" s="12" t="s">
        <v>44</v>
      </c>
      <c r="D20" s="12" t="s">
        <v>167</v>
      </c>
      <c r="E20" s="12" t="s">
        <v>168</v>
      </c>
      <c r="F20" s="11" t="s">
        <v>149</v>
      </c>
      <c r="G20" s="11" t="s">
        <v>150</v>
      </c>
      <c r="H20" s="11">
        <f>COUNTIF('المراكز Centers'!D:D,A20)</f>
        <v>4</v>
      </c>
      <c r="I20" s="12"/>
      <c r="J20" s="18"/>
      <c r="K20" s="18"/>
      <c r="L20" s="18"/>
    </row>
    <row r="21" ht="15" customHeight="1" spans="1:12" x14ac:dyDescent="0.25">
      <c r="A21" s="13" t="s">
        <v>169</v>
      </c>
      <c r="B21" s="13">
        <v>1</v>
      </c>
      <c r="C21" s="14" t="s">
        <v>44</v>
      </c>
      <c r="D21" s="14" t="s">
        <v>170</v>
      </c>
      <c r="E21" s="14" t="s">
        <v>171</v>
      </c>
      <c r="F21" s="13" t="s">
        <v>113</v>
      </c>
      <c r="G21" s="13" t="s">
        <v>114</v>
      </c>
      <c r="H21" s="13">
        <f>COUNTIF('المراكز Centers'!D:D,A21)</f>
        <v>3</v>
      </c>
      <c r="I21" s="14"/>
      <c r="J21" s="18"/>
      <c r="K21" s="18"/>
      <c r="L21" s="18"/>
    </row>
    <row r="22" ht="15" customHeight="1" spans="1:12" x14ac:dyDescent="0.25">
      <c r="A22" s="11" t="s">
        <v>172</v>
      </c>
      <c r="B22" s="11">
        <v>1</v>
      </c>
      <c r="C22" s="12" t="s">
        <v>44</v>
      </c>
      <c r="D22" s="12" t="s">
        <v>173</v>
      </c>
      <c r="E22" s="12" t="s">
        <v>174</v>
      </c>
      <c r="F22" s="11" t="s">
        <v>149</v>
      </c>
      <c r="G22" s="11" t="s">
        <v>150</v>
      </c>
      <c r="H22" s="11">
        <f>COUNTIF('المراكز Centers'!D:D,A22)</f>
        <v>4</v>
      </c>
      <c r="I22" s="12"/>
      <c r="J22" s="18"/>
      <c r="K22" s="18"/>
      <c r="L22" s="18"/>
    </row>
    <row r="23" ht="15" customHeight="1" spans="1:12" x14ac:dyDescent="0.25">
      <c r="A23" s="13" t="s">
        <v>175</v>
      </c>
      <c r="B23" s="13">
        <v>1</v>
      </c>
      <c r="C23" s="14" t="s">
        <v>44</v>
      </c>
      <c r="D23" s="14" t="s">
        <v>176</v>
      </c>
      <c r="E23" s="14" t="s">
        <v>177</v>
      </c>
      <c r="F23" s="13" t="s">
        <v>149</v>
      </c>
      <c r="G23" s="13" t="s">
        <v>150</v>
      </c>
      <c r="H23" s="13">
        <f>COUNTIF('المراكز Centers'!D:D,A23)</f>
        <v>7</v>
      </c>
      <c r="I23" s="14" t="s">
        <v>178</v>
      </c>
      <c r="J23" s="18"/>
      <c r="K23" s="18"/>
      <c r="L23" s="18"/>
    </row>
    <row r="24" ht="15" customHeight="1" spans="1:12" x14ac:dyDescent="0.25">
      <c r="A24" s="11" t="s">
        <v>179</v>
      </c>
      <c r="B24" s="11">
        <v>1</v>
      </c>
      <c r="C24" s="12" t="s">
        <v>44</v>
      </c>
      <c r="D24" s="12" t="s">
        <v>180</v>
      </c>
      <c r="E24" s="12" t="s">
        <v>181</v>
      </c>
      <c r="F24" s="11" t="s">
        <v>149</v>
      </c>
      <c r="G24" s="11" t="s">
        <v>150</v>
      </c>
      <c r="H24" s="11">
        <f>COUNTIF('المراكز Centers'!D:D,A24)</f>
        <v>42</v>
      </c>
      <c r="I24" s="12" t="s">
        <v>178</v>
      </c>
      <c r="J24" s="18"/>
      <c r="K24" s="18"/>
      <c r="L24" s="18"/>
    </row>
    <row r="25" ht="15" customHeight="1" spans="1:12" x14ac:dyDescent="0.25">
      <c r="A25" s="13" t="s">
        <v>182</v>
      </c>
      <c r="B25" s="13">
        <v>2</v>
      </c>
      <c r="C25" s="14" t="s">
        <v>47</v>
      </c>
      <c r="D25" s="14" t="s">
        <v>47</v>
      </c>
      <c r="E25" s="14" t="s">
        <v>48</v>
      </c>
      <c r="F25" s="13" t="s">
        <v>107</v>
      </c>
      <c r="G25" s="13" t="s">
        <v>108</v>
      </c>
      <c r="H25" s="13">
        <f>COUNTIF('المراكز Centers'!D:D,A25)</f>
        <v>6</v>
      </c>
      <c r="I25" s="14"/>
      <c r="J25" s="17">
        <v>21.42664</v>
      </c>
      <c r="K25" s="17">
        <v>39.82563</v>
      </c>
      <c r="L25" s="17" t="s">
        <v>183</v>
      </c>
    </row>
    <row r="26" ht="15" customHeight="1" spans="1:12" x14ac:dyDescent="0.25">
      <c r="A26" s="11" t="s">
        <v>184</v>
      </c>
      <c r="B26" s="11">
        <v>2</v>
      </c>
      <c r="C26" s="12" t="s">
        <v>47</v>
      </c>
      <c r="D26" s="12" t="s">
        <v>185</v>
      </c>
      <c r="E26" s="12" t="s">
        <v>186</v>
      </c>
      <c r="F26" s="11" t="s">
        <v>113</v>
      </c>
      <c r="G26" s="11" t="s">
        <v>114</v>
      </c>
      <c r="H26" s="11">
        <f>COUNTIF('المراكز Centers'!D:D,A26)</f>
        <v>1</v>
      </c>
      <c r="I26" s="12"/>
      <c r="J26" s="17">
        <v>21.54333</v>
      </c>
      <c r="K26" s="17">
        <v>39.17278</v>
      </c>
      <c r="L26" s="17" t="s">
        <v>187</v>
      </c>
    </row>
    <row r="27" ht="15" customHeight="1" spans="1:12" x14ac:dyDescent="0.25">
      <c r="A27" s="13" t="s">
        <v>188</v>
      </c>
      <c r="B27" s="13">
        <v>2</v>
      </c>
      <c r="C27" s="14" t="s">
        <v>47</v>
      </c>
      <c r="D27" s="14" t="s">
        <v>189</v>
      </c>
      <c r="E27" s="14" t="s">
        <v>190</v>
      </c>
      <c r="F27" s="13" t="s">
        <v>113</v>
      </c>
      <c r="G27" s="13" t="s">
        <v>114</v>
      </c>
      <c r="H27" s="13">
        <f>COUNTIF('المراكز Centers'!D:D,A27)</f>
        <v>18</v>
      </c>
      <c r="I27" s="14"/>
      <c r="J27" s="18"/>
      <c r="K27" s="18"/>
      <c r="L27" s="18"/>
    </row>
    <row r="28" ht="15" customHeight="1" spans="1:12" x14ac:dyDescent="0.25">
      <c r="A28" s="11" t="s">
        <v>191</v>
      </c>
      <c r="B28" s="11">
        <v>2</v>
      </c>
      <c r="C28" s="12" t="s">
        <v>47</v>
      </c>
      <c r="D28" s="12" t="s">
        <v>192</v>
      </c>
      <c r="E28" s="12" t="s">
        <v>193</v>
      </c>
      <c r="F28" s="11" t="s">
        <v>113</v>
      </c>
      <c r="G28" s="11" t="s">
        <v>114</v>
      </c>
      <c r="H28" s="11">
        <f>COUNTIF('المراكز Centers'!D:D,A28)</f>
        <v>9</v>
      </c>
      <c r="I28" s="12"/>
      <c r="J28" s="18"/>
      <c r="K28" s="18"/>
      <c r="L28" s="18"/>
    </row>
    <row r="29" ht="15" customHeight="1" spans="1:12" x14ac:dyDescent="0.25">
      <c r="A29" s="13" t="s">
        <v>194</v>
      </c>
      <c r="B29" s="13">
        <v>2</v>
      </c>
      <c r="C29" s="14" t="s">
        <v>47</v>
      </c>
      <c r="D29" s="14" t="s">
        <v>195</v>
      </c>
      <c r="E29" s="14" t="s">
        <v>196</v>
      </c>
      <c r="F29" s="13" t="s">
        <v>113</v>
      </c>
      <c r="G29" s="13" t="s">
        <v>114</v>
      </c>
      <c r="H29" s="13">
        <f>COUNTIF('المراكز Centers'!D:D,A29)</f>
        <v>11</v>
      </c>
      <c r="I29" s="14"/>
      <c r="J29" s="18"/>
      <c r="K29" s="18"/>
      <c r="L29" s="18"/>
    </row>
    <row r="30" ht="15" customHeight="1" spans="1:12" x14ac:dyDescent="0.25">
      <c r="A30" s="11" t="s">
        <v>197</v>
      </c>
      <c r="B30" s="11">
        <v>2</v>
      </c>
      <c r="C30" s="12" t="s">
        <v>47</v>
      </c>
      <c r="D30" s="12" t="s">
        <v>198</v>
      </c>
      <c r="E30" s="12" t="s">
        <v>199</v>
      </c>
      <c r="F30" s="11" t="s">
        <v>113</v>
      </c>
      <c r="G30" s="11" t="s">
        <v>114</v>
      </c>
      <c r="H30" s="11">
        <f>COUNTIF('المراكز Centers'!D:D,A30)</f>
        <v>6</v>
      </c>
      <c r="I30" s="12"/>
      <c r="J30" s="18"/>
      <c r="K30" s="18"/>
      <c r="L30" s="18"/>
    </row>
    <row r="31" ht="15" customHeight="1" spans="1:12" x14ac:dyDescent="0.25">
      <c r="A31" s="13" t="s">
        <v>200</v>
      </c>
      <c r="B31" s="13">
        <v>2</v>
      </c>
      <c r="C31" s="14" t="s">
        <v>47</v>
      </c>
      <c r="D31" s="14" t="s">
        <v>201</v>
      </c>
      <c r="E31" s="14" t="s">
        <v>202</v>
      </c>
      <c r="F31" s="13" t="s">
        <v>149</v>
      </c>
      <c r="G31" s="13" t="s">
        <v>150</v>
      </c>
      <c r="H31" s="13">
        <f>COUNTIF('المراكز Centers'!D:D,A31)</f>
        <v>8</v>
      </c>
      <c r="I31" s="14"/>
      <c r="J31" s="18"/>
      <c r="K31" s="18"/>
      <c r="L31" s="18"/>
    </row>
    <row r="32" ht="15" customHeight="1" spans="1:12" x14ac:dyDescent="0.25">
      <c r="A32" s="11" t="s">
        <v>203</v>
      </c>
      <c r="B32" s="11">
        <v>2</v>
      </c>
      <c r="C32" s="12" t="s">
        <v>47</v>
      </c>
      <c r="D32" s="12" t="s">
        <v>204</v>
      </c>
      <c r="E32" s="12" t="s">
        <v>205</v>
      </c>
      <c r="F32" s="11" t="s">
        <v>113</v>
      </c>
      <c r="G32" s="11" t="s">
        <v>114</v>
      </c>
      <c r="H32" s="11">
        <f>COUNTIF('المراكز Centers'!D:D,A32)</f>
        <v>9</v>
      </c>
      <c r="I32" s="12"/>
      <c r="J32" s="18"/>
      <c r="K32" s="18"/>
      <c r="L32" s="18"/>
    </row>
    <row r="33" ht="15" customHeight="1" spans="1:12" x14ac:dyDescent="0.25">
      <c r="A33" s="13" t="s">
        <v>206</v>
      </c>
      <c r="B33" s="13">
        <v>2</v>
      </c>
      <c r="C33" s="14" t="s">
        <v>47</v>
      </c>
      <c r="D33" s="14" t="s">
        <v>207</v>
      </c>
      <c r="E33" s="14" t="s">
        <v>208</v>
      </c>
      <c r="F33" s="13" t="s">
        <v>149</v>
      </c>
      <c r="G33" s="13" t="s">
        <v>150</v>
      </c>
      <c r="H33" s="13">
        <f>COUNTIF('المراكز Centers'!D:D,A33)</f>
        <v>4</v>
      </c>
      <c r="I33" s="14"/>
      <c r="J33" s="18"/>
      <c r="K33" s="18"/>
      <c r="L33" s="18"/>
    </row>
    <row r="34" ht="15" customHeight="1" spans="1:12" x14ac:dyDescent="0.25">
      <c r="A34" s="11" t="s">
        <v>209</v>
      </c>
      <c r="B34" s="11">
        <v>2</v>
      </c>
      <c r="C34" s="12" t="s">
        <v>47</v>
      </c>
      <c r="D34" s="12" t="s">
        <v>210</v>
      </c>
      <c r="E34" s="12" t="s">
        <v>211</v>
      </c>
      <c r="F34" s="11" t="s">
        <v>113</v>
      </c>
      <c r="G34" s="11" t="s">
        <v>114</v>
      </c>
      <c r="H34" s="11">
        <f>COUNTIF('المراكز Centers'!D:D,A34)</f>
        <v>3</v>
      </c>
      <c r="I34" s="12"/>
      <c r="J34" s="18"/>
      <c r="K34" s="18"/>
      <c r="L34" s="18"/>
    </row>
    <row r="35" ht="15" customHeight="1" spans="1:12" x14ac:dyDescent="0.25">
      <c r="A35" s="13" t="s">
        <v>212</v>
      </c>
      <c r="B35" s="13">
        <v>2</v>
      </c>
      <c r="C35" s="14" t="s">
        <v>47</v>
      </c>
      <c r="D35" s="14" t="s">
        <v>213</v>
      </c>
      <c r="E35" s="14" t="s">
        <v>214</v>
      </c>
      <c r="F35" s="13" t="s">
        <v>113</v>
      </c>
      <c r="G35" s="13" t="s">
        <v>114</v>
      </c>
      <c r="H35" s="13">
        <f>COUNTIF('المراكز Centers'!D:D,A35)</f>
        <v>7</v>
      </c>
      <c r="I35" s="14"/>
      <c r="J35" s="18"/>
      <c r="K35" s="18"/>
      <c r="L35" s="18"/>
    </row>
    <row r="36" ht="15" customHeight="1" spans="1:12" x14ac:dyDescent="0.25">
      <c r="A36" s="11" t="s">
        <v>215</v>
      </c>
      <c r="B36" s="11">
        <v>2</v>
      </c>
      <c r="C36" s="12" t="s">
        <v>47</v>
      </c>
      <c r="D36" s="12" t="s">
        <v>216</v>
      </c>
      <c r="E36" s="12" t="s">
        <v>217</v>
      </c>
      <c r="F36" s="11" t="s">
        <v>113</v>
      </c>
      <c r="G36" s="11" t="s">
        <v>114</v>
      </c>
      <c r="H36" s="11">
        <f>COUNTIF('المراكز Centers'!D:D,A36)</f>
        <v>9</v>
      </c>
      <c r="I36" s="12"/>
      <c r="J36" s="18"/>
      <c r="K36" s="18"/>
      <c r="L36" s="18"/>
    </row>
    <row r="37" ht="15" customHeight="1" spans="1:12" x14ac:dyDescent="0.25">
      <c r="A37" s="13" t="s">
        <v>218</v>
      </c>
      <c r="B37" s="13">
        <v>2</v>
      </c>
      <c r="C37" s="14" t="s">
        <v>47</v>
      </c>
      <c r="D37" s="14" t="s">
        <v>219</v>
      </c>
      <c r="E37" s="14" t="s">
        <v>220</v>
      </c>
      <c r="F37" s="13" t="s">
        <v>149</v>
      </c>
      <c r="G37" s="13" t="s">
        <v>150</v>
      </c>
      <c r="H37" s="13">
        <f>COUNTIF('المراكز Centers'!D:D,A37)</f>
        <v>4</v>
      </c>
      <c r="I37" s="14" t="s">
        <v>221</v>
      </c>
      <c r="J37" s="18"/>
      <c r="K37" s="18"/>
      <c r="L37" s="18"/>
    </row>
    <row r="38" ht="15" customHeight="1" spans="1:12" x14ac:dyDescent="0.25">
      <c r="A38" s="11" t="s">
        <v>222</v>
      </c>
      <c r="B38" s="11">
        <v>2</v>
      </c>
      <c r="C38" s="12" t="s">
        <v>47</v>
      </c>
      <c r="D38" s="12" t="s">
        <v>223</v>
      </c>
      <c r="E38" s="12" t="s">
        <v>224</v>
      </c>
      <c r="F38" s="11" t="s">
        <v>149</v>
      </c>
      <c r="G38" s="11" t="s">
        <v>150</v>
      </c>
      <c r="H38" s="11">
        <f>COUNTIF('المراكز Centers'!D:D,A38)</f>
        <v>17</v>
      </c>
      <c r="I38" s="12"/>
      <c r="J38" s="18"/>
      <c r="K38" s="18"/>
      <c r="L38" s="18"/>
    </row>
    <row r="39" ht="15" customHeight="1" spans="1:12" x14ac:dyDescent="0.25">
      <c r="A39" s="13" t="s">
        <v>225</v>
      </c>
      <c r="B39" s="13">
        <v>2</v>
      </c>
      <c r="C39" s="14" t="s">
        <v>47</v>
      </c>
      <c r="D39" s="14" t="s">
        <v>226</v>
      </c>
      <c r="E39" s="14" t="s">
        <v>227</v>
      </c>
      <c r="F39" s="13" t="s">
        <v>149</v>
      </c>
      <c r="G39" s="13" t="s">
        <v>150</v>
      </c>
      <c r="H39" s="13">
        <f>COUNTIF('المراكز Centers'!D:D,A39)</f>
        <v>6</v>
      </c>
      <c r="I39" s="14"/>
      <c r="J39" s="18"/>
      <c r="K39" s="18"/>
      <c r="L39" s="18"/>
    </row>
    <row r="40" ht="15" customHeight="1" spans="1:12" x14ac:dyDescent="0.25">
      <c r="A40" s="11" t="s">
        <v>228</v>
      </c>
      <c r="B40" s="11">
        <v>2</v>
      </c>
      <c r="C40" s="12" t="s">
        <v>47</v>
      </c>
      <c r="D40" s="12" t="s">
        <v>229</v>
      </c>
      <c r="E40" s="12" t="s">
        <v>230</v>
      </c>
      <c r="F40" s="11" t="s">
        <v>149</v>
      </c>
      <c r="G40" s="11" t="s">
        <v>150</v>
      </c>
      <c r="H40" s="11">
        <f>COUNTIF('المراكز Centers'!D:D,A40)</f>
        <v>4</v>
      </c>
      <c r="I40" s="12"/>
      <c r="J40" s="18"/>
      <c r="K40" s="18"/>
      <c r="L40" s="18"/>
    </row>
    <row r="41" ht="15" customHeight="1" spans="1:12" x14ac:dyDescent="0.25">
      <c r="A41" s="13" t="s">
        <v>231</v>
      </c>
      <c r="B41" s="13">
        <v>2</v>
      </c>
      <c r="C41" s="14" t="s">
        <v>47</v>
      </c>
      <c r="D41" s="14" t="s">
        <v>232</v>
      </c>
      <c r="E41" s="14" t="s">
        <v>233</v>
      </c>
      <c r="F41" s="13" t="s">
        <v>149</v>
      </c>
      <c r="G41" s="13" t="s">
        <v>150</v>
      </c>
      <c r="H41" s="13">
        <f>COUNTIF('المراكز Centers'!D:D,A41)</f>
        <v>4</v>
      </c>
      <c r="I41" s="14"/>
      <c r="J41" s="18"/>
      <c r="K41" s="18"/>
      <c r="L41" s="18"/>
    </row>
    <row r="42" ht="15" customHeight="1" spans="1:12" x14ac:dyDescent="0.25">
      <c r="A42" s="11" t="s">
        <v>234</v>
      </c>
      <c r="B42" s="11">
        <v>3</v>
      </c>
      <c r="C42" s="12" t="s">
        <v>51</v>
      </c>
      <c r="D42" s="12" t="s">
        <v>51</v>
      </c>
      <c r="E42" s="12" t="s">
        <v>52</v>
      </c>
      <c r="F42" s="11" t="s">
        <v>107</v>
      </c>
      <c r="G42" s="11" t="s">
        <v>108</v>
      </c>
      <c r="H42" s="11">
        <f>COUNTIF('المراكز Centers'!D:D,A42)</f>
        <v>16</v>
      </c>
      <c r="I42" s="12"/>
      <c r="J42" s="17">
        <v>24.47</v>
      </c>
      <c r="K42" s="17">
        <v>39.61</v>
      </c>
      <c r="L42" s="17" t="s">
        <v>187</v>
      </c>
    </row>
    <row r="43" ht="15" customHeight="1" spans="1:12" x14ac:dyDescent="0.25">
      <c r="A43" s="13" t="s">
        <v>235</v>
      </c>
      <c r="B43" s="13">
        <v>3</v>
      </c>
      <c r="C43" s="14" t="s">
        <v>51</v>
      </c>
      <c r="D43" s="14" t="s">
        <v>236</v>
      </c>
      <c r="E43" s="14" t="s">
        <v>237</v>
      </c>
      <c r="F43" s="13" t="s">
        <v>113</v>
      </c>
      <c r="G43" s="13" t="s">
        <v>114</v>
      </c>
      <c r="H43" s="13">
        <f>COUNTIF('المراكز Centers'!D:D,A43)</f>
        <v>11</v>
      </c>
      <c r="I43" s="14"/>
      <c r="J43" s="18"/>
      <c r="K43" s="18"/>
      <c r="L43" s="18"/>
    </row>
    <row r="44" ht="15" customHeight="1" spans="1:12" x14ac:dyDescent="0.25">
      <c r="A44" s="11" t="s">
        <v>238</v>
      </c>
      <c r="B44" s="11">
        <v>3</v>
      </c>
      <c r="C44" s="12" t="s">
        <v>51</v>
      </c>
      <c r="D44" s="12" t="s">
        <v>239</v>
      </c>
      <c r="E44" s="12" t="s">
        <v>240</v>
      </c>
      <c r="F44" s="11" t="s">
        <v>113</v>
      </c>
      <c r="G44" s="11" t="s">
        <v>114</v>
      </c>
      <c r="H44" s="11">
        <f>COUNTIF('المراكز Centers'!D:D,A44)</f>
        <v>12</v>
      </c>
      <c r="I44" s="12"/>
      <c r="J44" s="18"/>
      <c r="K44" s="18"/>
      <c r="L44" s="18"/>
    </row>
    <row r="45" ht="15" customHeight="1" spans="1:12" x14ac:dyDescent="0.25">
      <c r="A45" s="13" t="s">
        <v>241</v>
      </c>
      <c r="B45" s="13">
        <v>3</v>
      </c>
      <c r="C45" s="14" t="s">
        <v>51</v>
      </c>
      <c r="D45" s="14" t="s">
        <v>242</v>
      </c>
      <c r="E45" s="14" t="s">
        <v>243</v>
      </c>
      <c r="F45" s="13" t="s">
        <v>113</v>
      </c>
      <c r="G45" s="13" t="s">
        <v>114</v>
      </c>
      <c r="H45" s="13">
        <f>COUNTIF('المراكز Centers'!D:D,A45)</f>
        <v>18</v>
      </c>
      <c r="I45" s="14"/>
      <c r="J45" s="18"/>
      <c r="K45" s="18"/>
      <c r="L45" s="18"/>
    </row>
    <row r="46" ht="15" customHeight="1" spans="1:12" x14ac:dyDescent="0.25">
      <c r="A46" s="11" t="s">
        <v>244</v>
      </c>
      <c r="B46" s="11">
        <v>3</v>
      </c>
      <c r="C46" s="12" t="s">
        <v>51</v>
      </c>
      <c r="D46" s="12" t="s">
        <v>245</v>
      </c>
      <c r="E46" s="12" t="s">
        <v>246</v>
      </c>
      <c r="F46" s="11" t="s">
        <v>149</v>
      </c>
      <c r="G46" s="11" t="s">
        <v>150</v>
      </c>
      <c r="H46" s="11">
        <f>COUNTIF('المراكز Centers'!D:D,A46)</f>
        <v>8</v>
      </c>
      <c r="I46" s="12"/>
      <c r="J46" s="18"/>
      <c r="K46" s="18"/>
      <c r="L46" s="18"/>
    </row>
    <row r="47" ht="15" customHeight="1" spans="1:12" x14ac:dyDescent="0.25">
      <c r="A47" s="13" t="s">
        <v>247</v>
      </c>
      <c r="B47" s="13">
        <v>3</v>
      </c>
      <c r="C47" s="14" t="s">
        <v>51</v>
      </c>
      <c r="D47" s="14" t="s">
        <v>248</v>
      </c>
      <c r="E47" s="14" t="s">
        <v>249</v>
      </c>
      <c r="F47" s="13" t="s">
        <v>149</v>
      </c>
      <c r="G47" s="13" t="s">
        <v>150</v>
      </c>
      <c r="H47" s="13">
        <f>COUNTIF('المراكز Centers'!D:D,A47)</f>
        <v>9</v>
      </c>
      <c r="I47" s="14"/>
      <c r="J47" s="18"/>
      <c r="K47" s="18"/>
      <c r="L47" s="18"/>
    </row>
    <row r="48" ht="15" customHeight="1" spans="1:12" x14ac:dyDescent="0.25">
      <c r="A48" s="11" t="s">
        <v>250</v>
      </c>
      <c r="B48" s="11">
        <v>3</v>
      </c>
      <c r="C48" s="12" t="s">
        <v>51</v>
      </c>
      <c r="D48" s="12" t="s">
        <v>251</v>
      </c>
      <c r="E48" s="12" t="s">
        <v>252</v>
      </c>
      <c r="F48" s="11" t="s">
        <v>113</v>
      </c>
      <c r="G48" s="11" t="s">
        <v>114</v>
      </c>
      <c r="H48" s="11">
        <f>COUNTIF('المراكز Centers'!D:D,A48)</f>
        <v>10</v>
      </c>
      <c r="I48" s="12"/>
      <c r="J48" s="18"/>
      <c r="K48" s="18"/>
      <c r="L48" s="18"/>
    </row>
    <row r="49" ht="15" customHeight="1" spans="1:12" x14ac:dyDescent="0.25">
      <c r="A49" s="13" t="s">
        <v>253</v>
      </c>
      <c r="B49" s="13">
        <v>3</v>
      </c>
      <c r="C49" s="14" t="s">
        <v>51</v>
      </c>
      <c r="D49" s="14" t="s">
        <v>254</v>
      </c>
      <c r="E49" s="14" t="s">
        <v>255</v>
      </c>
      <c r="F49" s="13" t="s">
        <v>149</v>
      </c>
      <c r="G49" s="13" t="s">
        <v>150</v>
      </c>
      <c r="H49" s="13">
        <f>COUNTIF('المراكز Centers'!D:D,A49)</f>
        <v>8</v>
      </c>
      <c r="I49" s="14"/>
      <c r="J49" s="18"/>
      <c r="K49" s="18"/>
      <c r="L49" s="18"/>
    </row>
    <row r="50" ht="15" customHeight="1" spans="1:12" x14ac:dyDescent="0.25">
      <c r="A50" s="11" t="s">
        <v>256</v>
      </c>
      <c r="B50" s="11">
        <v>3</v>
      </c>
      <c r="C50" s="12" t="s">
        <v>51</v>
      </c>
      <c r="D50" s="12" t="s">
        <v>257</v>
      </c>
      <c r="E50" s="12" t="s">
        <v>258</v>
      </c>
      <c r="F50" s="11" t="s">
        <v>149</v>
      </c>
      <c r="G50" s="11" t="s">
        <v>150</v>
      </c>
      <c r="H50" s="11">
        <f>COUNTIF('المراكز Centers'!D:D,A50)</f>
        <v>10</v>
      </c>
      <c r="I50" s="12"/>
      <c r="J50" s="18"/>
      <c r="K50" s="18"/>
      <c r="L50" s="18"/>
    </row>
    <row r="51" ht="15" customHeight="1" spans="1:12" x14ac:dyDescent="0.25">
      <c r="A51" s="13" t="s">
        <v>259</v>
      </c>
      <c r="B51" s="13">
        <v>4</v>
      </c>
      <c r="C51" s="14" t="s">
        <v>55</v>
      </c>
      <c r="D51" s="14" t="s">
        <v>260</v>
      </c>
      <c r="E51" s="14" t="s">
        <v>59</v>
      </c>
      <c r="F51" s="13" t="s">
        <v>107</v>
      </c>
      <c r="G51" s="13" t="s">
        <v>108</v>
      </c>
      <c r="H51" s="13">
        <f>COUNTIF('المراكز Centers'!D:D,A51)</f>
        <v>27</v>
      </c>
      <c r="I51" s="14"/>
      <c r="J51" s="17">
        <v>26.326</v>
      </c>
      <c r="K51" s="17">
        <v>43.975</v>
      </c>
      <c r="L51" s="17" t="s">
        <v>261</v>
      </c>
    </row>
    <row r="52" ht="15" customHeight="1" spans="1:12" x14ac:dyDescent="0.25">
      <c r="A52" s="11" t="s">
        <v>262</v>
      </c>
      <c r="B52" s="11">
        <v>4</v>
      </c>
      <c r="C52" s="12" t="s">
        <v>55</v>
      </c>
      <c r="D52" s="12" t="s">
        <v>263</v>
      </c>
      <c r="E52" s="12" t="s">
        <v>264</v>
      </c>
      <c r="F52" s="11" t="s">
        <v>113</v>
      </c>
      <c r="G52" s="11" t="s">
        <v>114</v>
      </c>
      <c r="H52" s="11">
        <f>COUNTIF('المراكز Centers'!D:D,A52)</f>
        <v>4</v>
      </c>
      <c r="I52" s="12"/>
      <c r="J52" s="18"/>
      <c r="K52" s="18"/>
      <c r="L52" s="18"/>
    </row>
    <row r="53" ht="15" customHeight="1" spans="1:12" x14ac:dyDescent="0.25">
      <c r="A53" s="13" t="s">
        <v>265</v>
      </c>
      <c r="B53" s="13">
        <v>4</v>
      </c>
      <c r="C53" s="14" t="s">
        <v>55</v>
      </c>
      <c r="D53" s="14" t="s">
        <v>266</v>
      </c>
      <c r="E53" s="14" t="s">
        <v>267</v>
      </c>
      <c r="F53" s="13" t="s">
        <v>113</v>
      </c>
      <c r="G53" s="13" t="s">
        <v>114</v>
      </c>
      <c r="H53" s="13">
        <f>COUNTIF('المراكز Centers'!D:D,A53)</f>
        <v>6</v>
      </c>
      <c r="I53" s="14"/>
      <c r="J53" s="18"/>
      <c r="K53" s="18"/>
      <c r="L53" s="18"/>
    </row>
    <row r="54" ht="15" customHeight="1" spans="1:12" x14ac:dyDescent="0.25">
      <c r="A54" s="11" t="s">
        <v>268</v>
      </c>
      <c r="B54" s="11">
        <v>4</v>
      </c>
      <c r="C54" s="12" t="s">
        <v>55</v>
      </c>
      <c r="D54" s="12" t="s">
        <v>269</v>
      </c>
      <c r="E54" s="12" t="s">
        <v>270</v>
      </c>
      <c r="F54" s="11" t="s">
        <v>113</v>
      </c>
      <c r="G54" s="11" t="s">
        <v>114</v>
      </c>
      <c r="H54" s="11">
        <f>COUNTIF('المراكز Centers'!D:D,A54)</f>
        <v>7</v>
      </c>
      <c r="I54" s="12"/>
      <c r="J54" s="18"/>
      <c r="K54" s="18"/>
      <c r="L54" s="18"/>
    </row>
    <row r="55" ht="15" customHeight="1" spans="1:12" x14ac:dyDescent="0.25">
      <c r="A55" s="13" t="s">
        <v>271</v>
      </c>
      <c r="B55" s="13">
        <v>4</v>
      </c>
      <c r="C55" s="14" t="s">
        <v>55</v>
      </c>
      <c r="D55" s="14" t="s">
        <v>272</v>
      </c>
      <c r="E55" s="14" t="s">
        <v>273</v>
      </c>
      <c r="F55" s="13" t="s">
        <v>113</v>
      </c>
      <c r="G55" s="13" t="s">
        <v>114</v>
      </c>
      <c r="H55" s="13">
        <f>COUNTIF('المراكز Centers'!D:D,A55)</f>
        <v>10</v>
      </c>
      <c r="I55" s="14"/>
      <c r="J55" s="18"/>
      <c r="K55" s="18"/>
      <c r="L55" s="18"/>
    </row>
    <row r="56" ht="15" customHeight="1" spans="1:12" x14ac:dyDescent="0.25">
      <c r="A56" s="11" t="s">
        <v>274</v>
      </c>
      <c r="B56" s="11">
        <v>4</v>
      </c>
      <c r="C56" s="12" t="s">
        <v>55</v>
      </c>
      <c r="D56" s="12" t="s">
        <v>275</v>
      </c>
      <c r="E56" s="12" t="s">
        <v>276</v>
      </c>
      <c r="F56" s="11" t="s">
        <v>113</v>
      </c>
      <c r="G56" s="11" t="s">
        <v>114</v>
      </c>
      <c r="H56" s="11">
        <f>COUNTIF('المراكز Centers'!D:D,A56)</f>
        <v>4</v>
      </c>
      <c r="I56" s="12"/>
      <c r="J56" s="18"/>
      <c r="K56" s="18"/>
      <c r="L56" s="18"/>
    </row>
    <row r="57" ht="15" customHeight="1" spans="1:12" x14ac:dyDescent="0.25">
      <c r="A57" s="13" t="s">
        <v>277</v>
      </c>
      <c r="B57" s="13">
        <v>4</v>
      </c>
      <c r="C57" s="14" t="s">
        <v>55</v>
      </c>
      <c r="D57" s="14" t="s">
        <v>278</v>
      </c>
      <c r="E57" s="14" t="s">
        <v>279</v>
      </c>
      <c r="F57" s="13" t="s">
        <v>149</v>
      </c>
      <c r="G57" s="13" t="s">
        <v>150</v>
      </c>
      <c r="H57" s="13">
        <f>COUNTIF('المراكز Centers'!D:D,A57)</f>
        <v>11</v>
      </c>
      <c r="I57" s="14"/>
      <c r="J57" s="18"/>
      <c r="K57" s="18"/>
      <c r="L57" s="18"/>
    </row>
    <row r="58" ht="15" customHeight="1" spans="1:12" x14ac:dyDescent="0.25">
      <c r="A58" s="11" t="s">
        <v>280</v>
      </c>
      <c r="B58" s="11">
        <v>4</v>
      </c>
      <c r="C58" s="12" t="s">
        <v>55</v>
      </c>
      <c r="D58" s="12" t="s">
        <v>281</v>
      </c>
      <c r="E58" s="12" t="s">
        <v>282</v>
      </c>
      <c r="F58" s="11" t="s">
        <v>149</v>
      </c>
      <c r="G58" s="11" t="s">
        <v>150</v>
      </c>
      <c r="H58" s="11">
        <f>COUNTIF('المراكز Centers'!D:D,A58)</f>
        <v>32</v>
      </c>
      <c r="I58" s="12"/>
      <c r="J58" s="18"/>
      <c r="K58" s="18"/>
      <c r="L58" s="18"/>
    </row>
    <row r="59" ht="15" customHeight="1" spans="1:12" x14ac:dyDescent="0.25">
      <c r="A59" s="13" t="s">
        <v>283</v>
      </c>
      <c r="B59" s="13">
        <v>4</v>
      </c>
      <c r="C59" s="14" t="s">
        <v>55</v>
      </c>
      <c r="D59" s="14" t="s">
        <v>284</v>
      </c>
      <c r="E59" s="14" t="s">
        <v>285</v>
      </c>
      <c r="F59" s="13" t="s">
        <v>149</v>
      </c>
      <c r="G59" s="13" t="s">
        <v>150</v>
      </c>
      <c r="H59" s="13">
        <f>COUNTIF('المراكز Centers'!D:D,A59)</f>
        <v>8</v>
      </c>
      <c r="I59" s="14"/>
      <c r="J59" s="18"/>
      <c r="K59" s="18"/>
      <c r="L59" s="18"/>
    </row>
    <row r="60" ht="15" customHeight="1" spans="1:12" x14ac:dyDescent="0.25">
      <c r="A60" s="11" t="s">
        <v>286</v>
      </c>
      <c r="B60" s="11">
        <v>4</v>
      </c>
      <c r="C60" s="12" t="s">
        <v>55</v>
      </c>
      <c r="D60" s="12" t="s">
        <v>287</v>
      </c>
      <c r="E60" s="12" t="s">
        <v>288</v>
      </c>
      <c r="F60" s="11" t="s">
        <v>149</v>
      </c>
      <c r="G60" s="11" t="s">
        <v>150</v>
      </c>
      <c r="H60" s="11">
        <f>COUNTIF('المراكز Centers'!D:D,A60)</f>
        <v>4</v>
      </c>
      <c r="I60" s="12"/>
      <c r="J60" s="18"/>
      <c r="K60" s="18"/>
      <c r="L60" s="18"/>
    </row>
    <row r="61" ht="15" customHeight="1" spans="1:12" x14ac:dyDescent="0.25">
      <c r="A61" s="13" t="s">
        <v>289</v>
      </c>
      <c r="B61" s="13">
        <v>4</v>
      </c>
      <c r="C61" s="14" t="s">
        <v>55</v>
      </c>
      <c r="D61" s="14" t="s">
        <v>290</v>
      </c>
      <c r="E61" s="14" t="s">
        <v>291</v>
      </c>
      <c r="F61" s="13" t="s">
        <v>149</v>
      </c>
      <c r="G61" s="13" t="s">
        <v>150</v>
      </c>
      <c r="H61" s="13">
        <f>COUNTIF('المراكز Centers'!D:D,A61)</f>
        <v>2</v>
      </c>
      <c r="I61" s="14"/>
      <c r="J61" s="18"/>
      <c r="K61" s="18"/>
      <c r="L61" s="18"/>
    </row>
    <row r="62" ht="15" customHeight="1" spans="1:12" x14ac:dyDescent="0.25">
      <c r="A62" s="11" t="s">
        <v>292</v>
      </c>
      <c r="B62" s="11">
        <v>4</v>
      </c>
      <c r="C62" s="12" t="s">
        <v>55</v>
      </c>
      <c r="D62" s="12" t="s">
        <v>293</v>
      </c>
      <c r="E62" s="12" t="s">
        <v>294</v>
      </c>
      <c r="F62" s="11" t="s">
        <v>149</v>
      </c>
      <c r="G62" s="11" t="s">
        <v>150</v>
      </c>
      <c r="H62" s="11">
        <f>COUNTIF('المراكز Centers'!D:D,A62)</f>
        <v>13</v>
      </c>
      <c r="I62" s="12"/>
      <c r="J62" s="18"/>
      <c r="K62" s="18"/>
      <c r="L62" s="18"/>
    </row>
    <row r="63" ht="15" customHeight="1" spans="1:12" x14ac:dyDescent="0.25">
      <c r="A63" s="13" t="s">
        <v>295</v>
      </c>
      <c r="B63" s="13">
        <v>4</v>
      </c>
      <c r="C63" s="14" t="s">
        <v>55</v>
      </c>
      <c r="D63" s="14" t="s">
        <v>296</v>
      </c>
      <c r="E63" s="14" t="s">
        <v>297</v>
      </c>
      <c r="F63" s="13" t="s">
        <v>149</v>
      </c>
      <c r="G63" s="13" t="s">
        <v>150</v>
      </c>
      <c r="H63" s="13">
        <f>COUNTIF('المراكز Centers'!D:D,A63)</f>
        <v>13</v>
      </c>
      <c r="I63" s="14"/>
      <c r="J63" s="18"/>
      <c r="K63" s="18"/>
      <c r="L63" s="18"/>
    </row>
    <row r="64" ht="15" customHeight="1" spans="1:12" x14ac:dyDescent="0.25">
      <c r="A64" s="11" t="s">
        <v>298</v>
      </c>
      <c r="B64" s="11">
        <v>5</v>
      </c>
      <c r="C64" s="12" t="s">
        <v>60</v>
      </c>
      <c r="D64" s="12" t="s">
        <v>63</v>
      </c>
      <c r="E64" s="12" t="s">
        <v>64</v>
      </c>
      <c r="F64" s="11" t="s">
        <v>107</v>
      </c>
      <c r="G64" s="11" t="s">
        <v>108</v>
      </c>
      <c r="H64" s="11">
        <f>COUNTIF('المراكز Centers'!D:D,A64)</f>
        <v>3</v>
      </c>
      <c r="I64" s="12"/>
      <c r="J64" s="17">
        <v>26.433</v>
      </c>
      <c r="K64" s="17">
        <v>50.1</v>
      </c>
      <c r="L64" s="17" t="s">
        <v>187</v>
      </c>
    </row>
    <row r="65" ht="15" customHeight="1" spans="1:12" x14ac:dyDescent="0.25">
      <c r="A65" s="13" t="s">
        <v>299</v>
      </c>
      <c r="B65" s="13">
        <v>5</v>
      </c>
      <c r="C65" s="14" t="s">
        <v>60</v>
      </c>
      <c r="D65" s="14" t="s">
        <v>300</v>
      </c>
      <c r="E65" s="14" t="s">
        <v>301</v>
      </c>
      <c r="F65" s="13" t="s">
        <v>113</v>
      </c>
      <c r="G65" s="13" t="s">
        <v>114</v>
      </c>
      <c r="H65" s="13">
        <f>COUNTIF('المراكز Centers'!D:D,A65)</f>
        <v>22</v>
      </c>
      <c r="I65" s="14"/>
      <c r="J65" s="18"/>
      <c r="K65" s="18"/>
      <c r="L65" s="18"/>
    </row>
    <row r="66" ht="15" customHeight="1" spans="1:12" x14ac:dyDescent="0.25">
      <c r="A66" s="11" t="s">
        <v>302</v>
      </c>
      <c r="B66" s="11">
        <v>5</v>
      </c>
      <c r="C66" s="12" t="s">
        <v>60</v>
      </c>
      <c r="D66" s="12" t="s">
        <v>303</v>
      </c>
      <c r="E66" s="12" t="s">
        <v>304</v>
      </c>
      <c r="F66" s="11" t="s">
        <v>113</v>
      </c>
      <c r="G66" s="11" t="s">
        <v>114</v>
      </c>
      <c r="H66" s="11">
        <f>COUNTIF('المراكز Centers'!D:D,A66)</f>
        <v>16</v>
      </c>
      <c r="I66" s="12"/>
      <c r="J66" s="18"/>
      <c r="K66" s="18"/>
      <c r="L66" s="18"/>
    </row>
    <row r="67" ht="15" customHeight="1" spans="1:12" x14ac:dyDescent="0.25">
      <c r="A67" s="13" t="s">
        <v>305</v>
      </c>
      <c r="B67" s="13">
        <v>5</v>
      </c>
      <c r="C67" s="14" t="s">
        <v>60</v>
      </c>
      <c r="D67" s="14" t="s">
        <v>306</v>
      </c>
      <c r="E67" s="14" t="s">
        <v>307</v>
      </c>
      <c r="F67" s="13" t="s">
        <v>113</v>
      </c>
      <c r="G67" s="13" t="s">
        <v>114</v>
      </c>
      <c r="H67" s="13">
        <f>COUNTIF('المراكز Centers'!D:D,A67)</f>
        <v>3</v>
      </c>
      <c r="I67" s="14"/>
      <c r="J67" s="18"/>
      <c r="K67" s="18"/>
      <c r="L67" s="18"/>
    </row>
    <row r="68" ht="15" customHeight="1" spans="1:12" x14ac:dyDescent="0.25">
      <c r="A68" s="11" t="s">
        <v>308</v>
      </c>
      <c r="B68" s="11">
        <v>5</v>
      </c>
      <c r="C68" s="12" t="s">
        <v>60</v>
      </c>
      <c r="D68" s="12" t="s">
        <v>309</v>
      </c>
      <c r="E68" s="12" t="s">
        <v>310</v>
      </c>
      <c r="F68" s="11" t="s">
        <v>113</v>
      </c>
      <c r="G68" s="11" t="s">
        <v>114</v>
      </c>
      <c r="H68" s="11">
        <f>COUNTIF('المراكز Centers'!D:D,A68)</f>
        <v>4</v>
      </c>
      <c r="I68" s="12"/>
      <c r="J68" s="18"/>
      <c r="K68" s="18"/>
      <c r="L68" s="18"/>
    </row>
    <row r="69" ht="15" customHeight="1" spans="1:12" x14ac:dyDescent="0.25">
      <c r="A69" s="13" t="s">
        <v>311</v>
      </c>
      <c r="B69" s="13">
        <v>5</v>
      </c>
      <c r="C69" s="14" t="s">
        <v>60</v>
      </c>
      <c r="D69" s="14" t="s">
        <v>312</v>
      </c>
      <c r="E69" s="14" t="s">
        <v>313</v>
      </c>
      <c r="F69" s="13" t="s">
        <v>113</v>
      </c>
      <c r="G69" s="13" t="s">
        <v>114</v>
      </c>
      <c r="H69" s="13">
        <f>COUNTIF('المراكز Centers'!D:D,A69)</f>
        <v>1</v>
      </c>
      <c r="I69" s="14"/>
      <c r="J69" s="18"/>
      <c r="K69" s="18"/>
      <c r="L69" s="18"/>
    </row>
    <row r="70" ht="15" customHeight="1" spans="1:12" x14ac:dyDescent="0.25">
      <c r="A70" s="11" t="s">
        <v>314</v>
      </c>
      <c r="B70" s="11">
        <v>5</v>
      </c>
      <c r="C70" s="12" t="s">
        <v>60</v>
      </c>
      <c r="D70" s="12" t="s">
        <v>315</v>
      </c>
      <c r="E70" s="12" t="s">
        <v>316</v>
      </c>
      <c r="F70" s="11" t="s">
        <v>113</v>
      </c>
      <c r="G70" s="11" t="s">
        <v>114</v>
      </c>
      <c r="H70" s="11">
        <f>COUNTIF('المراكز Centers'!D:D,A70)</f>
        <v>2</v>
      </c>
      <c r="I70" s="12"/>
      <c r="J70" s="18"/>
      <c r="K70" s="18"/>
      <c r="L70" s="18"/>
    </row>
    <row r="71" ht="15" customHeight="1" spans="1:12" x14ac:dyDescent="0.25">
      <c r="A71" s="13" t="s">
        <v>317</v>
      </c>
      <c r="B71" s="13">
        <v>5</v>
      </c>
      <c r="C71" s="14" t="s">
        <v>60</v>
      </c>
      <c r="D71" s="14" t="s">
        <v>318</v>
      </c>
      <c r="E71" s="14" t="s">
        <v>319</v>
      </c>
      <c r="F71" s="13" t="s">
        <v>149</v>
      </c>
      <c r="G71" s="13" t="s">
        <v>150</v>
      </c>
      <c r="H71" s="13">
        <f>COUNTIF('المراكز Centers'!D:D,A71)</f>
        <v>0</v>
      </c>
      <c r="I71" s="14"/>
      <c r="J71" s="18"/>
      <c r="K71" s="18"/>
      <c r="L71" s="18"/>
    </row>
    <row r="72" ht="15" customHeight="1" spans="1:12" x14ac:dyDescent="0.25">
      <c r="A72" s="11" t="s">
        <v>320</v>
      </c>
      <c r="B72" s="11">
        <v>5</v>
      </c>
      <c r="C72" s="12" t="s">
        <v>60</v>
      </c>
      <c r="D72" s="12" t="s">
        <v>321</v>
      </c>
      <c r="E72" s="12" t="s">
        <v>322</v>
      </c>
      <c r="F72" s="11" t="s">
        <v>149</v>
      </c>
      <c r="G72" s="11" t="s">
        <v>150</v>
      </c>
      <c r="H72" s="11">
        <f>COUNTIF('المراكز Centers'!D:D,A72)</f>
        <v>10</v>
      </c>
      <c r="I72" s="12"/>
      <c r="J72" s="18"/>
      <c r="K72" s="18"/>
      <c r="L72" s="18"/>
    </row>
    <row r="73" ht="15" customHeight="1" spans="1:12" x14ac:dyDescent="0.25">
      <c r="A73" s="13" t="s">
        <v>323</v>
      </c>
      <c r="B73" s="13">
        <v>5</v>
      </c>
      <c r="C73" s="14" t="s">
        <v>60</v>
      </c>
      <c r="D73" s="14" t="s">
        <v>324</v>
      </c>
      <c r="E73" s="14" t="s">
        <v>325</v>
      </c>
      <c r="F73" s="13" t="s">
        <v>149</v>
      </c>
      <c r="G73" s="13" t="s">
        <v>150</v>
      </c>
      <c r="H73" s="13">
        <f>COUNTIF('المراكز Centers'!D:D,A73)</f>
        <v>24</v>
      </c>
      <c r="I73" s="14"/>
      <c r="J73" s="18"/>
      <c r="K73" s="18"/>
      <c r="L73" s="18"/>
    </row>
    <row r="74" ht="15" customHeight="1" spans="1:12" x14ac:dyDescent="0.25">
      <c r="A74" s="11" t="s">
        <v>326</v>
      </c>
      <c r="B74" s="11">
        <v>5</v>
      </c>
      <c r="C74" s="12" t="s">
        <v>60</v>
      </c>
      <c r="D74" s="12" t="s">
        <v>327</v>
      </c>
      <c r="E74" s="12" t="s">
        <v>328</v>
      </c>
      <c r="F74" s="11" t="s">
        <v>149</v>
      </c>
      <c r="G74" s="11" t="s">
        <v>150</v>
      </c>
      <c r="H74" s="11">
        <f>COUNTIF('المراكز Centers'!D:D,A74)</f>
        <v>21</v>
      </c>
      <c r="I74" s="12"/>
      <c r="J74" s="18"/>
      <c r="K74" s="18"/>
      <c r="L74" s="18"/>
    </row>
    <row r="75" ht="15" customHeight="1" spans="1:12" x14ac:dyDescent="0.25">
      <c r="A75" s="13" t="s">
        <v>329</v>
      </c>
      <c r="B75" s="13">
        <v>5</v>
      </c>
      <c r="C75" s="14" t="s">
        <v>60</v>
      </c>
      <c r="D75" s="14" t="s">
        <v>330</v>
      </c>
      <c r="E75" s="14" t="s">
        <v>331</v>
      </c>
      <c r="F75" s="13" t="s">
        <v>113</v>
      </c>
      <c r="G75" s="13" t="s">
        <v>114</v>
      </c>
      <c r="H75" s="13">
        <f>COUNTIF('المراكز Centers'!D:D,A75)</f>
        <v>5</v>
      </c>
      <c r="I75" s="14" t="s">
        <v>332</v>
      </c>
      <c r="J75" s="18"/>
      <c r="K75" s="18"/>
      <c r="L75" s="18"/>
    </row>
    <row r="76" ht="15" customHeight="1" spans="1:12" x14ac:dyDescent="0.25">
      <c r="A76" s="11" t="s">
        <v>333</v>
      </c>
      <c r="B76" s="11">
        <v>6</v>
      </c>
      <c r="C76" s="12" t="s">
        <v>65</v>
      </c>
      <c r="D76" s="12" t="s">
        <v>334</v>
      </c>
      <c r="E76" s="12" t="s">
        <v>69</v>
      </c>
      <c r="F76" s="11" t="s">
        <v>107</v>
      </c>
      <c r="G76" s="11" t="s">
        <v>108</v>
      </c>
      <c r="H76" s="11">
        <f>COUNTIF('المراكز Centers'!D:D,A76)</f>
        <v>18</v>
      </c>
      <c r="I76" s="12"/>
      <c r="J76" s="17">
        <v>18.21694</v>
      </c>
      <c r="K76" s="17">
        <v>42.50528</v>
      </c>
      <c r="L76" s="17" t="s">
        <v>187</v>
      </c>
    </row>
    <row r="77" ht="15" customHeight="1" spans="1:12" x14ac:dyDescent="0.25">
      <c r="A77" s="13" t="s">
        <v>335</v>
      </c>
      <c r="B77" s="13">
        <v>6</v>
      </c>
      <c r="C77" s="14" t="s">
        <v>65</v>
      </c>
      <c r="D77" s="14" t="s">
        <v>336</v>
      </c>
      <c r="E77" s="14" t="s">
        <v>337</v>
      </c>
      <c r="F77" s="13" t="s">
        <v>113</v>
      </c>
      <c r="G77" s="13" t="s">
        <v>114</v>
      </c>
      <c r="H77" s="13">
        <f>COUNTIF('المراكز Centers'!D:D,A77)</f>
        <v>8</v>
      </c>
      <c r="I77" s="14"/>
      <c r="J77" s="18"/>
      <c r="K77" s="18"/>
      <c r="L77" s="18"/>
    </row>
    <row r="78" ht="15" customHeight="1" spans="1:12" x14ac:dyDescent="0.25">
      <c r="A78" s="11" t="s">
        <v>338</v>
      </c>
      <c r="B78" s="11">
        <v>6</v>
      </c>
      <c r="C78" s="12" t="s">
        <v>65</v>
      </c>
      <c r="D78" s="12" t="s">
        <v>339</v>
      </c>
      <c r="E78" s="12" t="s">
        <v>340</v>
      </c>
      <c r="F78" s="11" t="s">
        <v>113</v>
      </c>
      <c r="G78" s="11" t="s">
        <v>114</v>
      </c>
      <c r="H78" s="11">
        <f>COUNTIF('المراكز Centers'!D:D,A78)</f>
        <v>16</v>
      </c>
      <c r="I78" s="12"/>
      <c r="J78" s="18"/>
      <c r="K78" s="18"/>
      <c r="L78" s="18"/>
    </row>
    <row r="79" ht="15" customHeight="1" spans="1:12" x14ac:dyDescent="0.25">
      <c r="A79" s="13" t="s">
        <v>341</v>
      </c>
      <c r="B79" s="13">
        <v>6</v>
      </c>
      <c r="C79" s="14" t="s">
        <v>65</v>
      </c>
      <c r="D79" s="14" t="s">
        <v>342</v>
      </c>
      <c r="E79" s="14" t="s">
        <v>343</v>
      </c>
      <c r="F79" s="13" t="s">
        <v>113</v>
      </c>
      <c r="G79" s="13" t="s">
        <v>114</v>
      </c>
      <c r="H79" s="13">
        <f>COUNTIF('المراكز Centers'!D:D,A79)</f>
        <v>3</v>
      </c>
      <c r="I79" s="14"/>
      <c r="J79" s="18"/>
      <c r="K79" s="18"/>
      <c r="L79" s="18"/>
    </row>
    <row r="80" ht="15" customHeight="1" spans="1:12" x14ac:dyDescent="0.25">
      <c r="A80" s="11" t="s">
        <v>344</v>
      </c>
      <c r="B80" s="11">
        <v>6</v>
      </c>
      <c r="C80" s="12" t="s">
        <v>65</v>
      </c>
      <c r="D80" s="12" t="s">
        <v>345</v>
      </c>
      <c r="E80" s="12" t="s">
        <v>346</v>
      </c>
      <c r="F80" s="11" t="s">
        <v>113</v>
      </c>
      <c r="G80" s="11" t="s">
        <v>114</v>
      </c>
      <c r="H80" s="11">
        <f>COUNTIF('المراكز Centers'!D:D,A80)</f>
        <v>9</v>
      </c>
      <c r="I80" s="12"/>
      <c r="J80" s="18"/>
      <c r="K80" s="18"/>
      <c r="L80" s="18"/>
    </row>
    <row r="81" ht="15" customHeight="1" spans="1:12" x14ac:dyDescent="0.25">
      <c r="A81" s="13" t="s">
        <v>347</v>
      </c>
      <c r="B81" s="13">
        <v>6</v>
      </c>
      <c r="C81" s="14" t="s">
        <v>65</v>
      </c>
      <c r="D81" s="14" t="s">
        <v>348</v>
      </c>
      <c r="E81" s="14" t="s">
        <v>349</v>
      </c>
      <c r="F81" s="13" t="s">
        <v>149</v>
      </c>
      <c r="G81" s="13" t="s">
        <v>150</v>
      </c>
      <c r="H81" s="13">
        <f>COUNTIF('المراكز Centers'!D:D,A81)</f>
        <v>10</v>
      </c>
      <c r="I81" s="14"/>
      <c r="J81" s="18"/>
      <c r="K81" s="18"/>
      <c r="L81" s="18"/>
    </row>
    <row r="82" ht="15" customHeight="1" spans="1:12" x14ac:dyDescent="0.25">
      <c r="A82" s="11" t="s">
        <v>350</v>
      </c>
      <c r="B82" s="11">
        <v>6</v>
      </c>
      <c r="C82" s="12" t="s">
        <v>65</v>
      </c>
      <c r="D82" s="12" t="s">
        <v>351</v>
      </c>
      <c r="E82" s="12" t="s">
        <v>352</v>
      </c>
      <c r="F82" s="11" t="s">
        <v>113</v>
      </c>
      <c r="G82" s="11" t="s">
        <v>114</v>
      </c>
      <c r="H82" s="11">
        <f>COUNTIF('المراكز Centers'!D:D,A82)</f>
        <v>15</v>
      </c>
      <c r="I82" s="12"/>
      <c r="J82" s="18"/>
      <c r="K82" s="18"/>
      <c r="L82" s="18"/>
    </row>
    <row r="83" ht="15" customHeight="1" spans="1:12" x14ac:dyDescent="0.25">
      <c r="A83" s="13" t="s">
        <v>353</v>
      </c>
      <c r="B83" s="13">
        <v>6</v>
      </c>
      <c r="C83" s="14" t="s">
        <v>65</v>
      </c>
      <c r="D83" s="14" t="s">
        <v>354</v>
      </c>
      <c r="E83" s="14" t="s">
        <v>355</v>
      </c>
      <c r="F83" s="13" t="s">
        <v>149</v>
      </c>
      <c r="G83" s="13" t="s">
        <v>150</v>
      </c>
      <c r="H83" s="13">
        <f>COUNTIF('المراكز Centers'!D:D,A83)</f>
        <v>0</v>
      </c>
      <c r="I83" s="14" t="s">
        <v>356</v>
      </c>
      <c r="J83" s="18"/>
      <c r="K83" s="18"/>
      <c r="L83" s="18"/>
    </row>
    <row r="84" ht="15" customHeight="1" spans="1:12" x14ac:dyDescent="0.25">
      <c r="A84" s="11" t="s">
        <v>357</v>
      </c>
      <c r="B84" s="11">
        <v>6</v>
      </c>
      <c r="C84" s="12" t="s">
        <v>65</v>
      </c>
      <c r="D84" s="12" t="s">
        <v>358</v>
      </c>
      <c r="E84" s="12" t="s">
        <v>359</v>
      </c>
      <c r="F84" s="11" t="s">
        <v>149</v>
      </c>
      <c r="G84" s="11" t="s">
        <v>150</v>
      </c>
      <c r="H84" s="11">
        <f>COUNTIF('المراكز Centers'!D:D,A84)</f>
        <v>5</v>
      </c>
      <c r="I84" s="12"/>
      <c r="J84" s="18"/>
      <c r="K84" s="18"/>
      <c r="L84" s="18"/>
    </row>
    <row r="85" ht="15" customHeight="1" spans="1:12" x14ac:dyDescent="0.25">
      <c r="A85" s="13" t="s">
        <v>360</v>
      </c>
      <c r="B85" s="13">
        <v>6</v>
      </c>
      <c r="C85" s="14" t="s">
        <v>65</v>
      </c>
      <c r="D85" s="14" t="s">
        <v>361</v>
      </c>
      <c r="E85" s="14" t="s">
        <v>362</v>
      </c>
      <c r="F85" s="13" t="s">
        <v>149</v>
      </c>
      <c r="G85" s="13" t="s">
        <v>150</v>
      </c>
      <c r="H85" s="13">
        <f>COUNTIF('المراكز Centers'!D:D,A85)</f>
        <v>3</v>
      </c>
      <c r="I85" s="14"/>
      <c r="J85" s="18"/>
      <c r="K85" s="18"/>
      <c r="L85" s="18"/>
    </row>
    <row r="86" ht="15" customHeight="1" spans="1:12" x14ac:dyDescent="0.25">
      <c r="A86" s="11" t="s">
        <v>363</v>
      </c>
      <c r="B86" s="11">
        <v>6</v>
      </c>
      <c r="C86" s="12" t="s">
        <v>65</v>
      </c>
      <c r="D86" s="12" t="s">
        <v>364</v>
      </c>
      <c r="E86" s="12" t="s">
        <v>365</v>
      </c>
      <c r="F86" s="11" t="s">
        <v>113</v>
      </c>
      <c r="G86" s="11" t="s">
        <v>114</v>
      </c>
      <c r="H86" s="11">
        <f>COUNTIF('المراكز Centers'!D:D,A86)</f>
        <v>9</v>
      </c>
      <c r="I86" s="12"/>
      <c r="J86" s="18"/>
      <c r="K86" s="18"/>
      <c r="L86" s="18"/>
    </row>
    <row r="87" ht="15" customHeight="1" spans="1:12" x14ac:dyDescent="0.25">
      <c r="A87" s="13" t="s">
        <v>366</v>
      </c>
      <c r="B87" s="13">
        <v>6</v>
      </c>
      <c r="C87" s="14" t="s">
        <v>65</v>
      </c>
      <c r="D87" s="14" t="s">
        <v>367</v>
      </c>
      <c r="E87" s="14" t="s">
        <v>368</v>
      </c>
      <c r="F87" s="13" t="s">
        <v>149</v>
      </c>
      <c r="G87" s="13" t="s">
        <v>150</v>
      </c>
      <c r="H87" s="13">
        <f>COUNTIF('المراكز Centers'!D:D,A87)</f>
        <v>9</v>
      </c>
      <c r="I87" s="14"/>
      <c r="J87" s="18"/>
      <c r="K87" s="18"/>
      <c r="L87" s="18"/>
    </row>
    <row r="88" ht="15" customHeight="1" spans="1:12" x14ac:dyDescent="0.25">
      <c r="A88" s="11" t="s">
        <v>369</v>
      </c>
      <c r="B88" s="11">
        <v>6</v>
      </c>
      <c r="C88" s="12" t="s">
        <v>65</v>
      </c>
      <c r="D88" s="12" t="s">
        <v>370</v>
      </c>
      <c r="E88" s="12" t="s">
        <v>371</v>
      </c>
      <c r="F88" s="11" t="s">
        <v>149</v>
      </c>
      <c r="G88" s="11" t="s">
        <v>150</v>
      </c>
      <c r="H88" s="11">
        <f>COUNTIF('المراكز Centers'!D:D,A88)</f>
        <v>5</v>
      </c>
      <c r="I88" s="12"/>
      <c r="J88" s="18"/>
      <c r="K88" s="18"/>
      <c r="L88" s="18"/>
    </row>
    <row r="89" ht="15" customHeight="1" spans="1:12" x14ac:dyDescent="0.25">
      <c r="A89" s="13" t="s">
        <v>372</v>
      </c>
      <c r="B89" s="13">
        <v>6</v>
      </c>
      <c r="C89" s="14" t="s">
        <v>65</v>
      </c>
      <c r="D89" s="14" t="s">
        <v>373</v>
      </c>
      <c r="E89" s="14" t="s">
        <v>374</v>
      </c>
      <c r="F89" s="13" t="s">
        <v>149</v>
      </c>
      <c r="G89" s="13" t="s">
        <v>150</v>
      </c>
      <c r="H89" s="13">
        <f>COUNTIF('المراكز Centers'!D:D,A89)</f>
        <v>6</v>
      </c>
      <c r="I89" s="14"/>
      <c r="J89" s="18"/>
      <c r="K89" s="18"/>
      <c r="L89" s="18"/>
    </row>
    <row r="90" ht="15" customHeight="1" spans="1:12" x14ac:dyDescent="0.25">
      <c r="A90" s="11" t="s">
        <v>375</v>
      </c>
      <c r="B90" s="11">
        <v>6</v>
      </c>
      <c r="C90" s="12" t="s">
        <v>65</v>
      </c>
      <c r="D90" s="12" t="s">
        <v>376</v>
      </c>
      <c r="E90" s="12" t="s">
        <v>377</v>
      </c>
      <c r="F90" s="11" t="s">
        <v>149</v>
      </c>
      <c r="G90" s="11" t="s">
        <v>150</v>
      </c>
      <c r="H90" s="11">
        <f>COUNTIF('المراكز Centers'!D:D,A90)</f>
        <v>3</v>
      </c>
      <c r="I90" s="12"/>
      <c r="J90" s="18"/>
      <c r="K90" s="18"/>
      <c r="L90" s="18"/>
    </row>
    <row r="91" ht="15" customHeight="1" spans="1:12" x14ac:dyDescent="0.25">
      <c r="A91" s="13" t="s">
        <v>378</v>
      </c>
      <c r="B91" s="13">
        <v>6</v>
      </c>
      <c r="C91" s="14" t="s">
        <v>65</v>
      </c>
      <c r="D91" s="14" t="s">
        <v>379</v>
      </c>
      <c r="E91" s="14" t="s">
        <v>380</v>
      </c>
      <c r="F91" s="13" t="s">
        <v>149</v>
      </c>
      <c r="G91" s="13" t="s">
        <v>150</v>
      </c>
      <c r="H91" s="13">
        <f>COUNTIF('المراكز Centers'!D:D,A91)</f>
        <v>2</v>
      </c>
      <c r="I91" s="14"/>
      <c r="J91" s="18"/>
      <c r="K91" s="18"/>
      <c r="L91" s="18"/>
    </row>
    <row r="92" ht="15" customHeight="1" spans="1:12" x14ac:dyDescent="0.25">
      <c r="A92" s="11" t="s">
        <v>381</v>
      </c>
      <c r="B92" s="11">
        <v>6</v>
      </c>
      <c r="C92" s="12" t="s">
        <v>65</v>
      </c>
      <c r="D92" s="12" t="s">
        <v>382</v>
      </c>
      <c r="E92" s="12" t="s">
        <v>383</v>
      </c>
      <c r="F92" s="11" t="s">
        <v>149</v>
      </c>
      <c r="G92" s="11" t="s">
        <v>150</v>
      </c>
      <c r="H92" s="11">
        <f>COUNTIF('المراكز Centers'!D:D,A92)</f>
        <v>1</v>
      </c>
      <c r="I92" s="12" t="s">
        <v>332</v>
      </c>
      <c r="J92" s="18"/>
      <c r="K92" s="18"/>
      <c r="L92" s="18"/>
    </row>
    <row r="93" ht="15" customHeight="1" spans="1:12" x14ac:dyDescent="0.25">
      <c r="A93" s="13" t="s">
        <v>384</v>
      </c>
      <c r="B93" s="13">
        <v>6</v>
      </c>
      <c r="C93" s="14" t="s">
        <v>65</v>
      </c>
      <c r="D93" s="14" t="s">
        <v>385</v>
      </c>
      <c r="E93" s="14" t="s">
        <v>386</v>
      </c>
      <c r="F93" s="13" t="s">
        <v>149</v>
      </c>
      <c r="G93" s="13" t="s">
        <v>150</v>
      </c>
      <c r="H93" s="13">
        <f>COUNTIF('المراكز Centers'!D:D,A93)</f>
        <v>0</v>
      </c>
      <c r="I93" s="14" t="s">
        <v>332</v>
      </c>
      <c r="J93" s="18"/>
      <c r="K93" s="18"/>
      <c r="L93" s="18"/>
    </row>
    <row r="94" ht="15" customHeight="1" spans="1:12" x14ac:dyDescent="0.25">
      <c r="A94" s="11" t="s">
        <v>387</v>
      </c>
      <c r="B94" s="11">
        <v>7</v>
      </c>
      <c r="C94" s="12" t="s">
        <v>70</v>
      </c>
      <c r="D94" s="12" t="s">
        <v>70</v>
      </c>
      <c r="E94" s="12" t="s">
        <v>71</v>
      </c>
      <c r="F94" s="11" t="s">
        <v>107</v>
      </c>
      <c r="G94" s="11" t="s">
        <v>108</v>
      </c>
      <c r="H94" s="11">
        <f>COUNTIF('المراكز Centers'!D:D,A94)</f>
        <v>19</v>
      </c>
      <c r="I94" s="12"/>
      <c r="J94" s="17">
        <v>28.39722</v>
      </c>
      <c r="K94" s="17">
        <v>36.57889</v>
      </c>
      <c r="L94" s="17" t="s">
        <v>187</v>
      </c>
    </row>
    <row r="95" ht="15" customHeight="1" spans="1:12" x14ac:dyDescent="0.25">
      <c r="A95" s="13" t="s">
        <v>388</v>
      </c>
      <c r="B95" s="13">
        <v>7</v>
      </c>
      <c r="C95" s="14" t="s">
        <v>70</v>
      </c>
      <c r="D95" s="14" t="s">
        <v>389</v>
      </c>
      <c r="E95" s="14" t="s">
        <v>390</v>
      </c>
      <c r="F95" s="13" t="s">
        <v>113</v>
      </c>
      <c r="G95" s="13" t="s">
        <v>114</v>
      </c>
      <c r="H95" s="13">
        <f>COUNTIF('المراكز Centers'!D:D,A95)</f>
        <v>14</v>
      </c>
      <c r="I95" s="14"/>
      <c r="J95" s="18"/>
      <c r="K95" s="18"/>
      <c r="L95" s="18"/>
    </row>
    <row r="96" ht="15" customHeight="1" spans="1:12" x14ac:dyDescent="0.25">
      <c r="A96" s="11" t="s">
        <v>391</v>
      </c>
      <c r="B96" s="11">
        <v>7</v>
      </c>
      <c r="C96" s="12" t="s">
        <v>70</v>
      </c>
      <c r="D96" s="12" t="s">
        <v>392</v>
      </c>
      <c r="E96" s="12" t="s">
        <v>393</v>
      </c>
      <c r="F96" s="11" t="s">
        <v>113</v>
      </c>
      <c r="G96" s="11" t="s">
        <v>114</v>
      </c>
      <c r="H96" s="11">
        <f>COUNTIF('المراكز Centers'!D:D,A96)</f>
        <v>15</v>
      </c>
      <c r="I96" s="12"/>
      <c r="J96" s="18"/>
      <c r="K96" s="18"/>
      <c r="L96" s="18"/>
    </row>
    <row r="97" ht="15" customHeight="1" spans="1:12" x14ac:dyDescent="0.25">
      <c r="A97" s="13" t="s">
        <v>394</v>
      </c>
      <c r="B97" s="13">
        <v>7</v>
      </c>
      <c r="C97" s="14" t="s">
        <v>70</v>
      </c>
      <c r="D97" s="14" t="s">
        <v>395</v>
      </c>
      <c r="E97" s="14" t="s">
        <v>396</v>
      </c>
      <c r="F97" s="13" t="s">
        <v>113</v>
      </c>
      <c r="G97" s="13" t="s">
        <v>114</v>
      </c>
      <c r="H97" s="13">
        <f>COUNTIF('المراكز Centers'!D:D,A97)</f>
        <v>12</v>
      </c>
      <c r="I97" s="14"/>
      <c r="J97" s="18"/>
      <c r="K97" s="18"/>
      <c r="L97" s="18"/>
    </row>
    <row r="98" ht="15" customHeight="1" spans="1:12" x14ac:dyDescent="0.25">
      <c r="A98" s="11" t="s">
        <v>397</v>
      </c>
      <c r="B98" s="11">
        <v>7</v>
      </c>
      <c r="C98" s="12" t="s">
        <v>70</v>
      </c>
      <c r="D98" s="12" t="s">
        <v>398</v>
      </c>
      <c r="E98" s="12" t="s">
        <v>399</v>
      </c>
      <c r="F98" s="11" t="s">
        <v>113</v>
      </c>
      <c r="G98" s="11" t="s">
        <v>114</v>
      </c>
      <c r="H98" s="11">
        <f>COUNTIF('المراكز Centers'!D:D,A98)</f>
        <v>15</v>
      </c>
      <c r="I98" s="12"/>
      <c r="J98" s="18"/>
      <c r="K98" s="18"/>
      <c r="L98" s="18"/>
    </row>
    <row r="99" ht="15" customHeight="1" spans="1:12" x14ac:dyDescent="0.25">
      <c r="A99" s="13" t="s">
        <v>400</v>
      </c>
      <c r="B99" s="13">
        <v>7</v>
      </c>
      <c r="C99" s="14" t="s">
        <v>70</v>
      </c>
      <c r="D99" s="14" t="s">
        <v>401</v>
      </c>
      <c r="E99" s="14" t="s">
        <v>402</v>
      </c>
      <c r="F99" s="13" t="s">
        <v>149</v>
      </c>
      <c r="G99" s="13" t="s">
        <v>150</v>
      </c>
      <c r="H99" s="13">
        <f>COUNTIF('المراكز Centers'!D:D,A99)</f>
        <v>6</v>
      </c>
      <c r="I99" s="14"/>
      <c r="J99" s="18"/>
      <c r="K99" s="18"/>
      <c r="L99" s="18"/>
    </row>
    <row r="100" ht="15" customHeight="1" spans="1:12" x14ac:dyDescent="0.25">
      <c r="A100" s="11" t="s">
        <v>403</v>
      </c>
      <c r="B100" s="11">
        <v>7</v>
      </c>
      <c r="C100" s="12" t="s">
        <v>70</v>
      </c>
      <c r="D100" s="12" t="s">
        <v>404</v>
      </c>
      <c r="E100" s="12" t="s">
        <v>405</v>
      </c>
      <c r="F100" s="11" t="s">
        <v>149</v>
      </c>
      <c r="G100" s="11" t="s">
        <v>150</v>
      </c>
      <c r="H100" s="11">
        <f>COUNTIF('المراكز Centers'!D:D,A100)</f>
        <v>4</v>
      </c>
      <c r="I100" s="12"/>
      <c r="J100" s="18"/>
      <c r="K100" s="18"/>
      <c r="L100" s="18"/>
    </row>
    <row r="101" ht="15" customHeight="1" spans="1:12" x14ac:dyDescent="0.25">
      <c r="A101" s="13" t="s">
        <v>406</v>
      </c>
      <c r="B101" s="13">
        <v>8</v>
      </c>
      <c r="C101" s="14" t="s">
        <v>73</v>
      </c>
      <c r="D101" s="14" t="s">
        <v>73</v>
      </c>
      <c r="E101" s="14" t="s">
        <v>74</v>
      </c>
      <c r="F101" s="13" t="s">
        <v>107</v>
      </c>
      <c r="G101" s="13" t="s">
        <v>108</v>
      </c>
      <c r="H101" s="13">
        <f>COUNTIF('المراكز Centers'!D:D,A101)</f>
        <v>15</v>
      </c>
      <c r="I101" s="14"/>
      <c r="J101" s="17">
        <v>27.5167</v>
      </c>
      <c r="K101" s="17">
        <v>41.6833</v>
      </c>
      <c r="L101" s="17" t="s">
        <v>407</v>
      </c>
    </row>
    <row r="102" ht="15" customHeight="1" spans="1:12" x14ac:dyDescent="0.25">
      <c r="A102" s="11" t="s">
        <v>408</v>
      </c>
      <c r="B102" s="11">
        <v>8</v>
      </c>
      <c r="C102" s="12" t="s">
        <v>73</v>
      </c>
      <c r="D102" s="12" t="s">
        <v>409</v>
      </c>
      <c r="E102" s="12" t="s">
        <v>410</v>
      </c>
      <c r="F102" s="11" t="s">
        <v>113</v>
      </c>
      <c r="G102" s="11" t="s">
        <v>114</v>
      </c>
      <c r="H102" s="11">
        <f>COUNTIF('المراكز Centers'!D:D,A102)</f>
        <v>14</v>
      </c>
      <c r="I102" s="12"/>
      <c r="J102" s="18"/>
      <c r="K102" s="18"/>
      <c r="L102" s="18"/>
    </row>
    <row r="103" ht="15" customHeight="1" spans="1:12" x14ac:dyDescent="0.25">
      <c r="A103" s="13" t="s">
        <v>411</v>
      </c>
      <c r="B103" s="13">
        <v>8</v>
      </c>
      <c r="C103" s="14" t="s">
        <v>73</v>
      </c>
      <c r="D103" s="14" t="s">
        <v>412</v>
      </c>
      <c r="E103" s="14" t="s">
        <v>413</v>
      </c>
      <c r="F103" s="13" t="s">
        <v>149</v>
      </c>
      <c r="G103" s="13" t="s">
        <v>150</v>
      </c>
      <c r="H103" s="13">
        <f>COUNTIF('المراكز Centers'!D:D,A103)</f>
        <v>6</v>
      </c>
      <c r="I103" s="14"/>
      <c r="J103" s="18"/>
      <c r="K103" s="18"/>
      <c r="L103" s="18"/>
    </row>
    <row r="104" ht="15" customHeight="1" spans="1:12" x14ac:dyDescent="0.25">
      <c r="A104" s="11" t="s">
        <v>414</v>
      </c>
      <c r="B104" s="11">
        <v>8</v>
      </c>
      <c r="C104" s="12" t="s">
        <v>73</v>
      </c>
      <c r="D104" s="12" t="s">
        <v>415</v>
      </c>
      <c r="E104" s="12" t="s">
        <v>416</v>
      </c>
      <c r="F104" s="11" t="s">
        <v>149</v>
      </c>
      <c r="G104" s="11" t="s">
        <v>150</v>
      </c>
      <c r="H104" s="11">
        <f>COUNTIF('المراكز Centers'!D:D,A104)</f>
        <v>14</v>
      </c>
      <c r="I104" s="12"/>
      <c r="J104" s="18"/>
      <c r="K104" s="18"/>
      <c r="L104" s="18"/>
    </row>
    <row r="105" ht="15" customHeight="1" spans="1:12" x14ac:dyDescent="0.25">
      <c r="A105" s="13" t="s">
        <v>417</v>
      </c>
      <c r="B105" s="13">
        <v>8</v>
      </c>
      <c r="C105" s="14" t="s">
        <v>73</v>
      </c>
      <c r="D105" s="14" t="s">
        <v>418</v>
      </c>
      <c r="E105" s="14" t="s">
        <v>419</v>
      </c>
      <c r="F105" s="13" t="s">
        <v>149</v>
      </c>
      <c r="G105" s="13" t="s">
        <v>150</v>
      </c>
      <c r="H105" s="13">
        <f>COUNTIF('المراكز Centers'!D:D,A105)</f>
        <v>10</v>
      </c>
      <c r="I105" s="14"/>
      <c r="J105" s="18"/>
      <c r="K105" s="18"/>
      <c r="L105" s="18"/>
    </row>
    <row r="106" ht="15" customHeight="1" spans="1:12" x14ac:dyDescent="0.25">
      <c r="A106" s="11" t="s">
        <v>420</v>
      </c>
      <c r="B106" s="11">
        <v>8</v>
      </c>
      <c r="C106" s="12" t="s">
        <v>73</v>
      </c>
      <c r="D106" s="12" t="s">
        <v>421</v>
      </c>
      <c r="E106" s="12" t="s">
        <v>422</v>
      </c>
      <c r="F106" s="11" t="s">
        <v>149</v>
      </c>
      <c r="G106" s="11" t="s">
        <v>150</v>
      </c>
      <c r="H106" s="11">
        <f>COUNTIF('المراكز Centers'!D:D,A106)</f>
        <v>8</v>
      </c>
      <c r="I106" s="12"/>
      <c r="J106" s="18"/>
      <c r="K106" s="18"/>
      <c r="L106" s="18"/>
    </row>
    <row r="107" ht="15" customHeight="1" spans="1:12" x14ac:dyDescent="0.25">
      <c r="A107" s="13" t="s">
        <v>423</v>
      </c>
      <c r="B107" s="13">
        <v>8</v>
      </c>
      <c r="C107" s="14" t="s">
        <v>73</v>
      </c>
      <c r="D107" s="14" t="s">
        <v>424</v>
      </c>
      <c r="E107" s="14" t="s">
        <v>425</v>
      </c>
      <c r="F107" s="13" t="s">
        <v>149</v>
      </c>
      <c r="G107" s="13" t="s">
        <v>150</v>
      </c>
      <c r="H107" s="13">
        <f>COUNTIF('المراكز Centers'!D:D,A107)</f>
        <v>11</v>
      </c>
      <c r="I107" s="14"/>
      <c r="J107" s="18"/>
      <c r="K107" s="18"/>
      <c r="L107" s="18"/>
    </row>
    <row r="108" ht="15" customHeight="1" spans="1:12" x14ac:dyDescent="0.25">
      <c r="A108" s="11" t="s">
        <v>426</v>
      </c>
      <c r="B108" s="11">
        <v>8</v>
      </c>
      <c r="C108" s="12" t="s">
        <v>73</v>
      </c>
      <c r="D108" s="12" t="s">
        <v>427</v>
      </c>
      <c r="E108" s="12" t="s">
        <v>428</v>
      </c>
      <c r="F108" s="11" t="s">
        <v>149</v>
      </c>
      <c r="G108" s="11" t="s">
        <v>150</v>
      </c>
      <c r="H108" s="11">
        <f>COUNTIF('المراكز Centers'!D:D,A108)</f>
        <v>20</v>
      </c>
      <c r="I108" s="12"/>
      <c r="J108" s="18"/>
      <c r="K108" s="18"/>
      <c r="L108" s="18"/>
    </row>
    <row r="109" ht="15" customHeight="1" spans="1:12" x14ac:dyDescent="0.25">
      <c r="A109" s="13" t="s">
        <v>429</v>
      </c>
      <c r="B109" s="13">
        <v>8</v>
      </c>
      <c r="C109" s="14" t="s">
        <v>73</v>
      </c>
      <c r="D109" s="14" t="s">
        <v>430</v>
      </c>
      <c r="E109" s="14" t="s">
        <v>431</v>
      </c>
      <c r="F109" s="13" t="s">
        <v>149</v>
      </c>
      <c r="G109" s="13" t="s">
        <v>150</v>
      </c>
      <c r="H109" s="13">
        <f>COUNTIF('المراكز Centers'!D:D,A109)</f>
        <v>9</v>
      </c>
      <c r="I109" s="14"/>
      <c r="J109" s="18"/>
      <c r="K109" s="18"/>
      <c r="L109" s="18"/>
    </row>
    <row r="110" ht="15" customHeight="1" spans="1:12" x14ac:dyDescent="0.25">
      <c r="A110" s="11" t="s">
        <v>432</v>
      </c>
      <c r="B110" s="11">
        <v>9</v>
      </c>
      <c r="C110" s="12" t="s">
        <v>76</v>
      </c>
      <c r="D110" s="12" t="s">
        <v>79</v>
      </c>
      <c r="E110" s="12" t="s">
        <v>80</v>
      </c>
      <c r="F110" s="11" t="s">
        <v>107</v>
      </c>
      <c r="G110" s="11" t="s">
        <v>108</v>
      </c>
      <c r="H110" s="11">
        <f>COUNTIF('المراكز Centers'!D:D,A110)</f>
        <v>3</v>
      </c>
      <c r="I110" s="12"/>
      <c r="J110" s="17">
        <v>30.97528</v>
      </c>
      <c r="K110" s="17">
        <v>41.02306</v>
      </c>
      <c r="L110" s="17" t="s">
        <v>187</v>
      </c>
    </row>
    <row r="111" ht="15" customHeight="1" spans="1:12" x14ac:dyDescent="0.25">
      <c r="A111" s="13" t="s">
        <v>433</v>
      </c>
      <c r="B111" s="13">
        <v>9</v>
      </c>
      <c r="C111" s="14" t="s">
        <v>76</v>
      </c>
      <c r="D111" s="14" t="s">
        <v>434</v>
      </c>
      <c r="E111" s="14" t="s">
        <v>435</v>
      </c>
      <c r="F111" s="13" t="s">
        <v>113</v>
      </c>
      <c r="G111" s="13" t="s">
        <v>114</v>
      </c>
      <c r="H111" s="13">
        <f>COUNTIF('المراكز Centers'!D:D,A111)</f>
        <v>17</v>
      </c>
      <c r="I111" s="14"/>
      <c r="J111" s="18"/>
      <c r="K111" s="18"/>
      <c r="L111" s="18"/>
    </row>
    <row r="112" ht="15" customHeight="1" spans="1:12" x14ac:dyDescent="0.25">
      <c r="A112" s="11" t="s">
        <v>436</v>
      </c>
      <c r="B112" s="11">
        <v>9</v>
      </c>
      <c r="C112" s="12" t="s">
        <v>76</v>
      </c>
      <c r="D112" s="12" t="s">
        <v>437</v>
      </c>
      <c r="E112" s="12" t="s">
        <v>438</v>
      </c>
      <c r="F112" s="11" t="s">
        <v>113</v>
      </c>
      <c r="G112" s="11" t="s">
        <v>114</v>
      </c>
      <c r="H112" s="11">
        <f>COUNTIF('المراكز Centers'!D:D,A112)</f>
        <v>1</v>
      </c>
      <c r="I112" s="12"/>
      <c r="J112" s="18"/>
      <c r="K112" s="18"/>
      <c r="L112" s="18"/>
    </row>
    <row r="113" ht="15" customHeight="1" spans="1:12" x14ac:dyDescent="0.25">
      <c r="A113" s="13" t="s">
        <v>439</v>
      </c>
      <c r="B113" s="13">
        <v>9</v>
      </c>
      <c r="C113" s="14" t="s">
        <v>76</v>
      </c>
      <c r="D113" s="14" t="s">
        <v>440</v>
      </c>
      <c r="E113" s="14" t="s">
        <v>441</v>
      </c>
      <c r="F113" s="13" t="s">
        <v>149</v>
      </c>
      <c r="G113" s="13" t="s">
        <v>150</v>
      </c>
      <c r="H113" s="13">
        <f>COUNTIF('المراكز Centers'!D:D,A113)</f>
        <v>7</v>
      </c>
      <c r="I113" s="14"/>
      <c r="J113" s="18"/>
      <c r="K113" s="18"/>
      <c r="L113" s="18"/>
    </row>
    <row r="114" ht="15" customHeight="1" spans="1:12" x14ac:dyDescent="0.25">
      <c r="A114" s="11" t="s">
        <v>442</v>
      </c>
      <c r="B114" s="11">
        <v>10</v>
      </c>
      <c r="C114" s="12" t="s">
        <v>81</v>
      </c>
      <c r="D114" s="12" t="s">
        <v>81</v>
      </c>
      <c r="E114" s="12" t="s">
        <v>82</v>
      </c>
      <c r="F114" s="11" t="s">
        <v>107</v>
      </c>
      <c r="G114" s="11" t="s">
        <v>108</v>
      </c>
      <c r="H114" s="11">
        <f>COUNTIF('المراكز Centers'!D:D,A114)</f>
        <v>1</v>
      </c>
      <c r="I114" s="12"/>
      <c r="J114" s="17">
        <v>16.88917</v>
      </c>
      <c r="K114" s="17">
        <v>42.56111</v>
      </c>
      <c r="L114" s="17" t="s">
        <v>443</v>
      </c>
    </row>
    <row r="115" ht="15" customHeight="1" spans="1:12" x14ac:dyDescent="0.25">
      <c r="A115" s="13" t="s">
        <v>444</v>
      </c>
      <c r="B115" s="13">
        <v>10</v>
      </c>
      <c r="C115" s="14" t="s">
        <v>81</v>
      </c>
      <c r="D115" s="14" t="s">
        <v>445</v>
      </c>
      <c r="E115" s="14" t="s">
        <v>446</v>
      </c>
      <c r="F115" s="13" t="s">
        <v>113</v>
      </c>
      <c r="G115" s="13" t="s">
        <v>114</v>
      </c>
      <c r="H115" s="13">
        <f>COUNTIF('المراكز Centers'!D:D,A115)</f>
        <v>3</v>
      </c>
      <c r="I115" s="14"/>
      <c r="J115" s="18"/>
      <c r="K115" s="18"/>
      <c r="L115" s="18"/>
    </row>
    <row r="116" ht="15" customHeight="1" spans="1:12" x14ac:dyDescent="0.25">
      <c r="A116" s="11" t="s">
        <v>447</v>
      </c>
      <c r="B116" s="11">
        <v>10</v>
      </c>
      <c r="C116" s="12" t="s">
        <v>81</v>
      </c>
      <c r="D116" s="12" t="s">
        <v>448</v>
      </c>
      <c r="E116" s="12" t="s">
        <v>449</v>
      </c>
      <c r="F116" s="11" t="s">
        <v>113</v>
      </c>
      <c r="G116" s="11" t="s">
        <v>114</v>
      </c>
      <c r="H116" s="11">
        <f>COUNTIF('المراكز Centers'!D:D,A116)</f>
        <v>1</v>
      </c>
      <c r="I116" s="12"/>
      <c r="J116" s="18"/>
      <c r="K116" s="18"/>
      <c r="L116" s="18"/>
    </row>
    <row r="117" ht="15" customHeight="1" spans="1:12" x14ac:dyDescent="0.25">
      <c r="A117" s="13" t="s">
        <v>450</v>
      </c>
      <c r="B117" s="13">
        <v>10</v>
      </c>
      <c r="C117" s="14" t="s">
        <v>81</v>
      </c>
      <c r="D117" s="14" t="s">
        <v>451</v>
      </c>
      <c r="E117" s="14" t="s">
        <v>452</v>
      </c>
      <c r="F117" s="13" t="s">
        <v>113</v>
      </c>
      <c r="G117" s="13" t="s">
        <v>114</v>
      </c>
      <c r="H117" s="13">
        <f>COUNTIF('المراكز Centers'!D:D,A117)</f>
        <v>2</v>
      </c>
      <c r="I117" s="14"/>
      <c r="J117" s="18"/>
      <c r="K117" s="18"/>
      <c r="L117" s="18"/>
    </row>
    <row r="118" ht="15" customHeight="1" spans="1:12" x14ac:dyDescent="0.25">
      <c r="A118" s="11" t="s">
        <v>453</v>
      </c>
      <c r="B118" s="11">
        <v>10</v>
      </c>
      <c r="C118" s="12" t="s">
        <v>81</v>
      </c>
      <c r="D118" s="12" t="s">
        <v>454</v>
      </c>
      <c r="E118" s="12" t="s">
        <v>455</v>
      </c>
      <c r="F118" s="11" t="s">
        <v>149</v>
      </c>
      <c r="G118" s="11" t="s">
        <v>150</v>
      </c>
      <c r="H118" s="11">
        <f>COUNTIF('المراكز Centers'!D:D,A118)</f>
        <v>1</v>
      </c>
      <c r="I118" s="12"/>
      <c r="J118" s="18"/>
      <c r="K118" s="18"/>
      <c r="L118" s="18"/>
    </row>
    <row r="119" ht="15" customHeight="1" spans="1:12" x14ac:dyDescent="0.25">
      <c r="A119" s="13" t="s">
        <v>456</v>
      </c>
      <c r="B119" s="13">
        <v>10</v>
      </c>
      <c r="C119" s="14" t="s">
        <v>81</v>
      </c>
      <c r="D119" s="14" t="s">
        <v>457</v>
      </c>
      <c r="E119" s="14" t="s">
        <v>458</v>
      </c>
      <c r="F119" s="13" t="s">
        <v>149</v>
      </c>
      <c r="G119" s="13" t="s">
        <v>150</v>
      </c>
      <c r="H119" s="13">
        <f>COUNTIF('المراكز Centers'!D:D,A119)</f>
        <v>1</v>
      </c>
      <c r="I119" s="14"/>
      <c r="J119" s="18"/>
      <c r="K119" s="18"/>
      <c r="L119" s="18"/>
    </row>
    <row r="120" ht="15" customHeight="1" spans="1:12" x14ac:dyDescent="0.25">
      <c r="A120" s="11" t="s">
        <v>459</v>
      </c>
      <c r="B120" s="11">
        <v>10</v>
      </c>
      <c r="C120" s="12" t="s">
        <v>81</v>
      </c>
      <c r="D120" s="12" t="s">
        <v>460</v>
      </c>
      <c r="E120" s="12" t="s">
        <v>461</v>
      </c>
      <c r="F120" s="11" t="s">
        <v>149</v>
      </c>
      <c r="G120" s="11" t="s">
        <v>150</v>
      </c>
      <c r="H120" s="11">
        <f>COUNTIF('المراكز Centers'!D:D,A120)</f>
        <v>5</v>
      </c>
      <c r="I120" s="12"/>
      <c r="J120" s="18"/>
      <c r="K120" s="18"/>
      <c r="L120" s="18"/>
    </row>
    <row r="121" ht="15" customHeight="1" spans="1:12" x14ac:dyDescent="0.25">
      <c r="A121" s="13" t="s">
        <v>462</v>
      </c>
      <c r="B121" s="13">
        <v>10</v>
      </c>
      <c r="C121" s="14" t="s">
        <v>81</v>
      </c>
      <c r="D121" s="14" t="s">
        <v>463</v>
      </c>
      <c r="E121" s="14" t="s">
        <v>464</v>
      </c>
      <c r="F121" s="13" t="s">
        <v>113</v>
      </c>
      <c r="G121" s="13" t="s">
        <v>114</v>
      </c>
      <c r="H121" s="13">
        <f>COUNTIF('المراكز Centers'!D:D,A121)</f>
        <v>3</v>
      </c>
      <c r="I121" s="14"/>
      <c r="J121" s="18"/>
      <c r="K121" s="18"/>
      <c r="L121" s="18"/>
    </row>
    <row r="122" ht="15" customHeight="1" spans="1:12" x14ac:dyDescent="0.25">
      <c r="A122" s="11" t="s">
        <v>465</v>
      </c>
      <c r="B122" s="11">
        <v>10</v>
      </c>
      <c r="C122" s="12" t="s">
        <v>81</v>
      </c>
      <c r="D122" s="12" t="s">
        <v>466</v>
      </c>
      <c r="E122" s="12" t="s">
        <v>467</v>
      </c>
      <c r="F122" s="11" t="s">
        <v>149</v>
      </c>
      <c r="G122" s="11" t="s">
        <v>150</v>
      </c>
      <c r="H122" s="11">
        <f>COUNTIF('المراكز Centers'!D:D,A122)</f>
        <v>0</v>
      </c>
      <c r="I122" s="12"/>
      <c r="J122" s="18"/>
      <c r="K122" s="18"/>
      <c r="L122" s="18"/>
    </row>
    <row r="123" ht="15" customHeight="1" spans="1:12" x14ac:dyDescent="0.25">
      <c r="A123" s="13" t="s">
        <v>468</v>
      </c>
      <c r="B123" s="13">
        <v>10</v>
      </c>
      <c r="C123" s="14" t="s">
        <v>81</v>
      </c>
      <c r="D123" s="14" t="s">
        <v>469</v>
      </c>
      <c r="E123" s="14" t="s">
        <v>470</v>
      </c>
      <c r="F123" s="13" t="s">
        <v>149</v>
      </c>
      <c r="G123" s="13" t="s">
        <v>150</v>
      </c>
      <c r="H123" s="13">
        <f>COUNTIF('المراكز Centers'!D:D,A123)</f>
        <v>6</v>
      </c>
      <c r="I123" s="14"/>
      <c r="J123" s="18"/>
      <c r="K123" s="18"/>
      <c r="L123" s="18"/>
    </row>
    <row r="124" ht="15" customHeight="1" spans="1:12" x14ac:dyDescent="0.25">
      <c r="A124" s="11" t="s">
        <v>471</v>
      </c>
      <c r="B124" s="11">
        <v>10</v>
      </c>
      <c r="C124" s="12" t="s">
        <v>81</v>
      </c>
      <c r="D124" s="12" t="s">
        <v>472</v>
      </c>
      <c r="E124" s="12" t="s">
        <v>473</v>
      </c>
      <c r="F124" s="11" t="s">
        <v>149</v>
      </c>
      <c r="G124" s="11" t="s">
        <v>150</v>
      </c>
      <c r="H124" s="11">
        <f>COUNTIF('المراكز Centers'!D:D,A124)</f>
        <v>1</v>
      </c>
      <c r="I124" s="12"/>
      <c r="J124" s="18"/>
      <c r="K124" s="18"/>
      <c r="L124" s="18"/>
    </row>
    <row r="125" ht="15" customHeight="1" spans="1:12" x14ac:dyDescent="0.25">
      <c r="A125" s="13" t="s">
        <v>474</v>
      </c>
      <c r="B125" s="13">
        <v>10</v>
      </c>
      <c r="C125" s="14" t="s">
        <v>81</v>
      </c>
      <c r="D125" s="14" t="s">
        <v>475</v>
      </c>
      <c r="E125" s="14" t="s">
        <v>476</v>
      </c>
      <c r="F125" s="13" t="s">
        <v>149</v>
      </c>
      <c r="G125" s="13" t="s">
        <v>150</v>
      </c>
      <c r="H125" s="13">
        <f>COUNTIF('المراكز Centers'!D:D,A125)</f>
        <v>2</v>
      </c>
      <c r="I125" s="14"/>
      <c r="J125" s="18"/>
      <c r="K125" s="18"/>
      <c r="L125" s="18"/>
    </row>
    <row r="126" ht="15" customHeight="1" spans="1:12" x14ac:dyDescent="0.25">
      <c r="A126" s="11" t="s">
        <v>477</v>
      </c>
      <c r="B126" s="11">
        <v>10</v>
      </c>
      <c r="C126" s="12" t="s">
        <v>81</v>
      </c>
      <c r="D126" s="12" t="s">
        <v>478</v>
      </c>
      <c r="E126" s="12" t="s">
        <v>479</v>
      </c>
      <c r="F126" s="11" t="s">
        <v>149</v>
      </c>
      <c r="G126" s="11" t="s">
        <v>150</v>
      </c>
      <c r="H126" s="11">
        <f>COUNTIF('المراكز Centers'!D:D,A126)</f>
        <v>3</v>
      </c>
      <c r="I126" s="12"/>
      <c r="J126" s="18"/>
      <c r="K126" s="18"/>
      <c r="L126" s="18"/>
    </row>
    <row r="127" ht="15" customHeight="1" spans="1:12" x14ac:dyDescent="0.25">
      <c r="A127" s="13" t="s">
        <v>480</v>
      </c>
      <c r="B127" s="13">
        <v>10</v>
      </c>
      <c r="C127" s="14" t="s">
        <v>81</v>
      </c>
      <c r="D127" s="14" t="s">
        <v>481</v>
      </c>
      <c r="E127" s="14" t="s">
        <v>482</v>
      </c>
      <c r="F127" s="13" t="s">
        <v>113</v>
      </c>
      <c r="G127" s="13" t="s">
        <v>114</v>
      </c>
      <c r="H127" s="13">
        <f>COUNTIF('المراكز Centers'!D:D,A127)</f>
        <v>4</v>
      </c>
      <c r="I127" s="14"/>
      <c r="J127" s="18"/>
      <c r="K127" s="18"/>
      <c r="L127" s="18"/>
    </row>
    <row r="128" ht="15" customHeight="1" spans="1:12" x14ac:dyDescent="0.25">
      <c r="A128" s="11" t="s">
        <v>483</v>
      </c>
      <c r="B128" s="11">
        <v>10</v>
      </c>
      <c r="C128" s="12" t="s">
        <v>81</v>
      </c>
      <c r="D128" s="12" t="s">
        <v>484</v>
      </c>
      <c r="E128" s="12" t="s">
        <v>485</v>
      </c>
      <c r="F128" s="11" t="s">
        <v>149</v>
      </c>
      <c r="G128" s="11" t="s">
        <v>150</v>
      </c>
      <c r="H128" s="11">
        <f>COUNTIF('المراكز Centers'!D:D,A128)</f>
        <v>1</v>
      </c>
      <c r="I128" s="12"/>
      <c r="J128" s="18"/>
      <c r="K128" s="18"/>
      <c r="L128" s="18"/>
    </row>
    <row r="129" ht="15" customHeight="1" spans="1:12" x14ac:dyDescent="0.25">
      <c r="A129" s="13" t="s">
        <v>486</v>
      </c>
      <c r="B129" s="13">
        <v>10</v>
      </c>
      <c r="C129" s="14" t="s">
        <v>81</v>
      </c>
      <c r="D129" s="14" t="s">
        <v>487</v>
      </c>
      <c r="E129" s="14" t="s">
        <v>488</v>
      </c>
      <c r="F129" s="13" t="s">
        <v>149</v>
      </c>
      <c r="G129" s="13" t="s">
        <v>150</v>
      </c>
      <c r="H129" s="13">
        <f>COUNTIF('المراكز Centers'!D:D,A129)</f>
        <v>5</v>
      </c>
      <c r="I129" s="14"/>
      <c r="J129" s="18"/>
      <c r="K129" s="18"/>
      <c r="L129" s="18"/>
    </row>
    <row r="130" ht="15" customHeight="1" spans="1:12" x14ac:dyDescent="0.25">
      <c r="A130" s="11" t="s">
        <v>489</v>
      </c>
      <c r="B130" s="11">
        <v>10</v>
      </c>
      <c r="C130" s="12" t="s">
        <v>81</v>
      </c>
      <c r="D130" s="12" t="s">
        <v>490</v>
      </c>
      <c r="E130" s="12" t="s">
        <v>491</v>
      </c>
      <c r="F130" s="11" t="s">
        <v>149</v>
      </c>
      <c r="G130" s="11" t="s">
        <v>150</v>
      </c>
      <c r="H130" s="11">
        <f>COUNTIF('المراكز Centers'!D:D,A130)</f>
        <v>0</v>
      </c>
      <c r="I130" s="12"/>
      <c r="J130" s="18"/>
      <c r="K130" s="18"/>
      <c r="L130" s="18"/>
    </row>
    <row r="131" ht="15" customHeight="1" spans="1:12" x14ac:dyDescent="0.25">
      <c r="A131" s="13" t="s">
        <v>492</v>
      </c>
      <c r="B131" s="13">
        <v>11</v>
      </c>
      <c r="C131" s="14" t="s">
        <v>84</v>
      </c>
      <c r="D131" s="14" t="s">
        <v>84</v>
      </c>
      <c r="E131" s="14" t="s">
        <v>85</v>
      </c>
      <c r="F131" s="13" t="s">
        <v>107</v>
      </c>
      <c r="G131" s="13" t="s">
        <v>108</v>
      </c>
      <c r="H131" s="13">
        <f>COUNTIF('المراكز Centers'!D:D,A131)</f>
        <v>6</v>
      </c>
      <c r="I131" s="14"/>
      <c r="J131" s="17">
        <v>17.49167</v>
      </c>
      <c r="K131" s="17">
        <v>44.13222</v>
      </c>
      <c r="L131" s="17" t="s">
        <v>187</v>
      </c>
    </row>
    <row r="132" ht="15" customHeight="1" spans="1:12" x14ac:dyDescent="0.25">
      <c r="A132" s="11" t="s">
        <v>493</v>
      </c>
      <c r="B132" s="11">
        <v>11</v>
      </c>
      <c r="C132" s="12" t="s">
        <v>84</v>
      </c>
      <c r="D132" s="12" t="s">
        <v>494</v>
      </c>
      <c r="E132" s="12" t="s">
        <v>495</v>
      </c>
      <c r="F132" s="11" t="s">
        <v>113</v>
      </c>
      <c r="G132" s="11" t="s">
        <v>114</v>
      </c>
      <c r="H132" s="11">
        <f>COUNTIF('المراكز Centers'!D:D,A132)</f>
        <v>16</v>
      </c>
      <c r="I132" s="12"/>
      <c r="J132" s="18"/>
      <c r="K132" s="18"/>
      <c r="L132" s="18"/>
    </row>
    <row r="133" ht="15" customHeight="1" spans="1:12" x14ac:dyDescent="0.25">
      <c r="A133" s="13" t="s">
        <v>496</v>
      </c>
      <c r="B133" s="13">
        <v>11</v>
      </c>
      <c r="C133" s="14" t="s">
        <v>84</v>
      </c>
      <c r="D133" s="14" t="s">
        <v>497</v>
      </c>
      <c r="E133" s="14" t="s">
        <v>498</v>
      </c>
      <c r="F133" s="13" t="s">
        <v>149</v>
      </c>
      <c r="G133" s="13" t="s">
        <v>150</v>
      </c>
      <c r="H133" s="13">
        <f>COUNTIF('المراكز Centers'!D:D,A133)</f>
        <v>3</v>
      </c>
      <c r="I133" s="14"/>
      <c r="J133" s="18"/>
      <c r="K133" s="18"/>
      <c r="L133" s="18"/>
    </row>
    <row r="134" ht="15" customHeight="1" spans="1:12" x14ac:dyDescent="0.25">
      <c r="A134" s="11" t="s">
        <v>499</v>
      </c>
      <c r="B134" s="11">
        <v>11</v>
      </c>
      <c r="C134" s="12" t="s">
        <v>84</v>
      </c>
      <c r="D134" s="12" t="s">
        <v>500</v>
      </c>
      <c r="E134" s="12" t="s">
        <v>501</v>
      </c>
      <c r="F134" s="11" t="s">
        <v>149</v>
      </c>
      <c r="G134" s="11" t="s">
        <v>150</v>
      </c>
      <c r="H134" s="11">
        <f>COUNTIF('المراكز Centers'!D:D,A134)</f>
        <v>5</v>
      </c>
      <c r="I134" s="12"/>
      <c r="J134" s="18"/>
      <c r="K134" s="18"/>
      <c r="L134" s="18"/>
    </row>
    <row r="135" ht="15" customHeight="1" spans="1:12" x14ac:dyDescent="0.25">
      <c r="A135" s="13" t="s">
        <v>502</v>
      </c>
      <c r="B135" s="13">
        <v>11</v>
      </c>
      <c r="C135" s="14" t="s">
        <v>84</v>
      </c>
      <c r="D135" s="14" t="s">
        <v>503</v>
      </c>
      <c r="E135" s="14" t="s">
        <v>504</v>
      </c>
      <c r="F135" s="13" t="s">
        <v>149</v>
      </c>
      <c r="G135" s="13" t="s">
        <v>150</v>
      </c>
      <c r="H135" s="13">
        <f>COUNTIF('المراكز Centers'!D:D,A135)</f>
        <v>7</v>
      </c>
      <c r="I135" s="14"/>
      <c r="J135" s="18"/>
      <c r="K135" s="18"/>
      <c r="L135" s="18"/>
    </row>
    <row r="136" ht="15" customHeight="1" spans="1:12" x14ac:dyDescent="0.25">
      <c r="A136" s="11" t="s">
        <v>505</v>
      </c>
      <c r="B136" s="11">
        <v>11</v>
      </c>
      <c r="C136" s="12" t="s">
        <v>84</v>
      </c>
      <c r="D136" s="12" t="s">
        <v>506</v>
      </c>
      <c r="E136" s="12" t="s">
        <v>507</v>
      </c>
      <c r="F136" s="11" t="s">
        <v>149</v>
      </c>
      <c r="G136" s="11" t="s">
        <v>150</v>
      </c>
      <c r="H136" s="11">
        <f>COUNTIF('المراكز Centers'!D:D,A136)</f>
        <v>6</v>
      </c>
      <c r="I136" s="12"/>
      <c r="J136" s="18"/>
      <c r="K136" s="18"/>
      <c r="L136" s="18"/>
    </row>
    <row r="137" ht="15" customHeight="1" spans="1:12" x14ac:dyDescent="0.25">
      <c r="A137" s="13" t="s">
        <v>508</v>
      </c>
      <c r="B137" s="13">
        <v>11</v>
      </c>
      <c r="C137" s="14" t="s">
        <v>84</v>
      </c>
      <c r="D137" s="14" t="s">
        <v>509</v>
      </c>
      <c r="E137" s="14" t="s">
        <v>510</v>
      </c>
      <c r="F137" s="13" t="s">
        <v>149</v>
      </c>
      <c r="G137" s="13" t="s">
        <v>150</v>
      </c>
      <c r="H137" s="13">
        <f>COUNTIF('المراكز Centers'!D:D,A137)</f>
        <v>8</v>
      </c>
      <c r="I137" s="14"/>
      <c r="J137" s="18"/>
      <c r="K137" s="18"/>
      <c r="L137" s="18"/>
    </row>
    <row r="138" ht="15" customHeight="1" spans="1:12" x14ac:dyDescent="0.25">
      <c r="A138" s="11" t="s">
        <v>511</v>
      </c>
      <c r="B138" s="11">
        <v>12</v>
      </c>
      <c r="C138" s="12" t="s">
        <v>87</v>
      </c>
      <c r="D138" s="12" t="s">
        <v>87</v>
      </c>
      <c r="E138" s="12" t="s">
        <v>88</v>
      </c>
      <c r="F138" s="11" t="s">
        <v>107</v>
      </c>
      <c r="G138" s="11" t="s">
        <v>108</v>
      </c>
      <c r="H138" s="11">
        <f>COUNTIF('المراكز Centers'!D:D,A138)</f>
        <v>2</v>
      </c>
      <c r="I138" s="12"/>
      <c r="J138" s="17">
        <v>20.0125</v>
      </c>
      <c r="K138" s="17">
        <v>41.46528</v>
      </c>
      <c r="L138" s="17" t="s">
        <v>187</v>
      </c>
    </row>
    <row r="139" ht="15" customHeight="1" spans="1:12" x14ac:dyDescent="0.25">
      <c r="A139" s="13" t="s">
        <v>512</v>
      </c>
      <c r="B139" s="13">
        <v>12</v>
      </c>
      <c r="C139" s="14" t="s">
        <v>87</v>
      </c>
      <c r="D139" s="14" t="s">
        <v>513</v>
      </c>
      <c r="E139" s="14" t="s">
        <v>514</v>
      </c>
      <c r="F139" s="13" t="s">
        <v>113</v>
      </c>
      <c r="G139" s="13" t="s">
        <v>114</v>
      </c>
      <c r="H139" s="13">
        <f>COUNTIF('المراكز Centers'!D:D,A139)</f>
        <v>5</v>
      </c>
      <c r="I139" s="14"/>
      <c r="J139" s="18"/>
      <c r="K139" s="18"/>
      <c r="L139" s="18"/>
    </row>
    <row r="140" ht="15" customHeight="1" spans="1:12" x14ac:dyDescent="0.25">
      <c r="A140" s="11" t="s">
        <v>515</v>
      </c>
      <c r="B140" s="11">
        <v>12</v>
      </c>
      <c r="C140" s="12" t="s">
        <v>87</v>
      </c>
      <c r="D140" s="12" t="s">
        <v>516</v>
      </c>
      <c r="E140" s="12" t="s">
        <v>517</v>
      </c>
      <c r="F140" s="11" t="s">
        <v>113</v>
      </c>
      <c r="G140" s="11" t="s">
        <v>114</v>
      </c>
      <c r="H140" s="11">
        <f>COUNTIF('المراكز Centers'!D:D,A140)</f>
        <v>4</v>
      </c>
      <c r="I140" s="12"/>
      <c r="J140" s="18"/>
      <c r="K140" s="18"/>
      <c r="L140" s="18"/>
    </row>
    <row r="141" ht="15" customHeight="1" spans="1:12" x14ac:dyDescent="0.25">
      <c r="A141" s="13" t="s">
        <v>518</v>
      </c>
      <c r="B141" s="13">
        <v>12</v>
      </c>
      <c r="C141" s="14" t="s">
        <v>87</v>
      </c>
      <c r="D141" s="14" t="s">
        <v>519</v>
      </c>
      <c r="E141" s="14" t="s">
        <v>520</v>
      </c>
      <c r="F141" s="13" t="s">
        <v>113</v>
      </c>
      <c r="G141" s="13" t="s">
        <v>114</v>
      </c>
      <c r="H141" s="13">
        <f>COUNTIF('المراكز Centers'!D:D,A141)</f>
        <v>6</v>
      </c>
      <c r="I141" s="14"/>
      <c r="J141" s="18"/>
      <c r="K141" s="18"/>
      <c r="L141" s="18"/>
    </row>
    <row r="142" ht="15" customHeight="1" spans="1:12" x14ac:dyDescent="0.25">
      <c r="A142" s="11" t="s">
        <v>521</v>
      </c>
      <c r="B142" s="11">
        <v>12</v>
      </c>
      <c r="C142" s="12" t="s">
        <v>87</v>
      </c>
      <c r="D142" s="12" t="s">
        <v>522</v>
      </c>
      <c r="E142" s="12" t="s">
        <v>523</v>
      </c>
      <c r="F142" s="11" t="s">
        <v>149</v>
      </c>
      <c r="G142" s="11" t="s">
        <v>150</v>
      </c>
      <c r="H142" s="11">
        <f>COUNTIF('المراكز Centers'!D:D,A142)</f>
        <v>6</v>
      </c>
      <c r="I142" s="12"/>
      <c r="J142" s="18"/>
      <c r="K142" s="18"/>
      <c r="L142" s="18"/>
    </row>
    <row r="143" ht="15" customHeight="1" spans="1:12" x14ac:dyDescent="0.25">
      <c r="A143" s="13" t="s">
        <v>524</v>
      </c>
      <c r="B143" s="13">
        <v>12</v>
      </c>
      <c r="C143" s="14" t="s">
        <v>87</v>
      </c>
      <c r="D143" s="14" t="s">
        <v>525</v>
      </c>
      <c r="E143" s="14" t="s">
        <v>526</v>
      </c>
      <c r="F143" s="13" t="s">
        <v>113</v>
      </c>
      <c r="G143" s="13" t="s">
        <v>114</v>
      </c>
      <c r="H143" s="13">
        <f>COUNTIF('المراكز Centers'!D:D,A143)</f>
        <v>5</v>
      </c>
      <c r="I143" s="14"/>
      <c r="J143" s="18"/>
      <c r="K143" s="18"/>
      <c r="L143" s="18"/>
    </row>
    <row r="144" ht="15" customHeight="1" spans="1:12" x14ac:dyDescent="0.25">
      <c r="A144" s="11" t="s">
        <v>527</v>
      </c>
      <c r="B144" s="11">
        <v>12</v>
      </c>
      <c r="C144" s="12" t="s">
        <v>87</v>
      </c>
      <c r="D144" s="12" t="s">
        <v>528</v>
      </c>
      <c r="E144" s="12" t="s">
        <v>529</v>
      </c>
      <c r="F144" s="11" t="s">
        <v>149</v>
      </c>
      <c r="G144" s="11" t="s">
        <v>150</v>
      </c>
      <c r="H144" s="11">
        <f>COUNTIF('المراكز Centers'!D:D,A144)</f>
        <v>5</v>
      </c>
      <c r="I144" s="12"/>
      <c r="J144" s="18"/>
      <c r="K144" s="18"/>
      <c r="L144" s="18"/>
    </row>
    <row r="145" ht="15" customHeight="1" spans="1:12" x14ac:dyDescent="0.25">
      <c r="A145" s="13" t="s">
        <v>530</v>
      </c>
      <c r="B145" s="13">
        <v>12</v>
      </c>
      <c r="C145" s="14" t="s">
        <v>87</v>
      </c>
      <c r="D145" s="14" t="s">
        <v>531</v>
      </c>
      <c r="E145" s="14" t="s">
        <v>532</v>
      </c>
      <c r="F145" s="13" t="s">
        <v>149</v>
      </c>
      <c r="G145" s="13" t="s">
        <v>150</v>
      </c>
      <c r="H145" s="13">
        <f>COUNTIF('المراكز Centers'!D:D,A145)</f>
        <v>2</v>
      </c>
      <c r="I145" s="14"/>
      <c r="J145" s="18"/>
      <c r="K145" s="18"/>
      <c r="L145" s="18"/>
    </row>
    <row r="146" ht="15" customHeight="1" spans="1:12" x14ac:dyDescent="0.25">
      <c r="A146" s="11" t="s">
        <v>533</v>
      </c>
      <c r="B146" s="11">
        <v>12</v>
      </c>
      <c r="C146" s="12" t="s">
        <v>87</v>
      </c>
      <c r="D146" s="12" t="s">
        <v>534</v>
      </c>
      <c r="E146" s="12" t="s">
        <v>535</v>
      </c>
      <c r="F146" s="11" t="s">
        <v>149</v>
      </c>
      <c r="G146" s="11" t="s">
        <v>150</v>
      </c>
      <c r="H146" s="11">
        <f>COUNTIF('المراكز Centers'!D:D,A146)</f>
        <v>3</v>
      </c>
      <c r="I146" s="12"/>
      <c r="J146" s="18"/>
      <c r="K146" s="18"/>
      <c r="L146" s="18"/>
    </row>
    <row r="147" ht="15" customHeight="1" spans="1:12" x14ac:dyDescent="0.25">
      <c r="A147" s="13" t="s">
        <v>536</v>
      </c>
      <c r="B147" s="13">
        <v>12</v>
      </c>
      <c r="C147" s="14" t="s">
        <v>87</v>
      </c>
      <c r="D147" s="14" t="s">
        <v>537</v>
      </c>
      <c r="E147" s="14" t="s">
        <v>538</v>
      </c>
      <c r="F147" s="13" t="s">
        <v>149</v>
      </c>
      <c r="G147" s="13" t="s">
        <v>150</v>
      </c>
      <c r="H147" s="13">
        <f>COUNTIF('المراكز Centers'!D:D,A147)</f>
        <v>4</v>
      </c>
      <c r="I147" s="14"/>
      <c r="J147" s="18"/>
      <c r="K147" s="18"/>
      <c r="L147" s="18"/>
    </row>
    <row r="148" ht="15" customHeight="1" spans="1:12" x14ac:dyDescent="0.25">
      <c r="A148" s="11" t="s">
        <v>539</v>
      </c>
      <c r="B148" s="11">
        <v>13</v>
      </c>
      <c r="C148" s="12" t="s">
        <v>90</v>
      </c>
      <c r="D148" s="12" t="s">
        <v>93</v>
      </c>
      <c r="E148" s="12" t="s">
        <v>94</v>
      </c>
      <c r="F148" s="11" t="s">
        <v>107</v>
      </c>
      <c r="G148" s="11" t="s">
        <v>108</v>
      </c>
      <c r="H148" s="11">
        <f>COUNTIF('المراكز Centers'!D:D,A148)</f>
        <v>14</v>
      </c>
      <c r="I148" s="12"/>
      <c r="J148" s="17">
        <v>29.96972</v>
      </c>
      <c r="K148" s="17">
        <v>40.2</v>
      </c>
      <c r="L148" s="17" t="s">
        <v>187</v>
      </c>
    </row>
    <row r="149" ht="15" customHeight="1" spans="1:12" x14ac:dyDescent="0.25">
      <c r="A149" s="13" t="s">
        <v>540</v>
      </c>
      <c r="B149" s="13">
        <v>13</v>
      </c>
      <c r="C149" s="14" t="s">
        <v>90</v>
      </c>
      <c r="D149" s="14" t="s">
        <v>541</v>
      </c>
      <c r="E149" s="14" t="s">
        <v>542</v>
      </c>
      <c r="F149" s="13" t="s">
        <v>113</v>
      </c>
      <c r="G149" s="13" t="s">
        <v>114</v>
      </c>
      <c r="H149" s="13">
        <f>COUNTIF('المراكز Centers'!D:D,A149)</f>
        <v>8</v>
      </c>
      <c r="I149" s="14"/>
      <c r="J149" s="18"/>
      <c r="K149" s="18"/>
      <c r="L149" s="18"/>
    </row>
    <row r="150" ht="15" customHeight="1" spans="1:12" x14ac:dyDescent="0.25">
      <c r="A150" s="11" t="s">
        <v>543</v>
      </c>
      <c r="B150" s="11">
        <v>13</v>
      </c>
      <c r="C150" s="12" t="s">
        <v>90</v>
      </c>
      <c r="D150" s="12" t="s">
        <v>544</v>
      </c>
      <c r="E150" s="12" t="s">
        <v>545</v>
      </c>
      <c r="F150" s="11" t="s">
        <v>113</v>
      </c>
      <c r="G150" s="11" t="s">
        <v>114</v>
      </c>
      <c r="H150" s="11">
        <f>COUNTIF('المراكز Centers'!D:D,A150)</f>
        <v>5</v>
      </c>
      <c r="I150" s="12"/>
      <c r="J150" s="18"/>
      <c r="K150" s="18"/>
      <c r="L150" s="18"/>
    </row>
    <row r="151" ht="15" customHeight="1" spans="1:12" x14ac:dyDescent="0.25">
      <c r="A151" s="13" t="s">
        <v>546</v>
      </c>
      <c r="B151" s="13">
        <v>13</v>
      </c>
      <c r="C151" s="14" t="s">
        <v>90</v>
      </c>
      <c r="D151" s="14" t="s">
        <v>547</v>
      </c>
      <c r="E151" s="14" t="s">
        <v>548</v>
      </c>
      <c r="F151" s="13" t="s">
        <v>149</v>
      </c>
      <c r="G151" s="13" t="s">
        <v>150</v>
      </c>
      <c r="H151" s="13">
        <f>COUNTIF('المراكز Centers'!D:D,A151)</f>
        <v>6</v>
      </c>
      <c r="I151" s="14"/>
      <c r="J151" s="18"/>
      <c r="K151" s="18"/>
      <c r="L151" s="18"/>
    </row>
  </sheetData>
  <autoFilter ref="A1:I151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5"/>
  <sheetViews>
    <sheetView workbookViewId="0" rightToLeft="1" zoomScale="100" zoomScaleNormal="100">
      <pane ySplit="1" topLeftCell="A1410" activePane="bottomLeft" state="frozen"/>
      <selection pane="bottomLeft"/>
    </sheetView>
  </sheetViews>
  <sheetFormatPr defaultRowHeight="15" outlineLevelRow="0" outlineLevelCol="0" x14ac:dyDescent="0" defaultColWidth="8.7109375"/>
  <cols>
    <col min="1" max="1" width="14" customWidth="1"/>
    <col min="2" max="2" width="11" customWidth="1"/>
    <col min="3" max="3" width="20" customWidth="1"/>
    <col min="4" max="4" width="12" customWidth="1"/>
    <col min="5" max="5" width="24" customWidth="1"/>
    <col min="6" max="6" width="30" customWidth="1"/>
    <col min="7" max="7" width="14" customWidth="1"/>
    <col min="8" max="10" width="22" customWidth="1"/>
    <col min="11" max="13" width="22" style="18" customWidth="1"/>
    <col min="14" max="14" width="22" customWidth="1"/>
  </cols>
  <sheetData>
    <row r="1" ht="33.75" customHeight="1" spans="1:14" x14ac:dyDescent="0.25">
      <c r="A1" s="19" t="s">
        <v>549</v>
      </c>
      <c r="B1" s="19" t="s">
        <v>35</v>
      </c>
      <c r="C1" s="19" t="s">
        <v>36</v>
      </c>
      <c r="D1" s="19" t="s">
        <v>96</v>
      </c>
      <c r="E1" s="19" t="s">
        <v>550</v>
      </c>
      <c r="F1" s="19" t="s">
        <v>551</v>
      </c>
      <c r="G1" s="19" t="s">
        <v>552</v>
      </c>
      <c r="H1" s="16" t="s">
        <v>553</v>
      </c>
      <c r="I1" s="16" t="s">
        <v>554</v>
      </c>
      <c r="J1" s="16" t="s">
        <v>555</v>
      </c>
      <c r="K1" s="16" t="s">
        <v>556</v>
      </c>
      <c r="L1" s="16" t="s">
        <v>557</v>
      </c>
      <c r="M1" s="16" t="s">
        <v>558</v>
      </c>
      <c r="N1" s="16" t="s">
        <v>559</v>
      </c>
    </row>
    <row r="2" ht="15" customHeight="1" spans="1:14" x14ac:dyDescent="0.25">
      <c r="A2" s="11" t="s">
        <v>560</v>
      </c>
      <c r="B2" s="11">
        <v>1</v>
      </c>
      <c r="C2" s="12" t="s">
        <v>44</v>
      </c>
      <c r="D2" s="11" t="s">
        <v>106</v>
      </c>
      <c r="E2" s="12" t="s">
        <v>44</v>
      </c>
      <c r="F2" s="12" t="s">
        <v>561</v>
      </c>
      <c r="G2" s="11" t="s">
        <v>113</v>
      </c>
      <c r="H2" s="18" t="str">
        <f>IFERROR(INDEX('المحافظات Governorates'!$E$2:$E$151,MATCH(D2,'المحافظات Governorates'!$A$2:$A$151,0)),"")</f>
        <v>Riyadh</v>
      </c>
      <c r="I2" s="18" t="str">
        <f>IFERROR(INDEX('المناطق Regions'!$C$2:$C$15,MATCH(B2,'المناطق Regions'!$A$2:$A$15,0)),"")</f>
        <v>Riyadh</v>
      </c>
      <c r="J2" s="18" t="str">
        <f>F2&amp;", "&amp;E2&amp;", Saudi Arabia"</f>
        <v>عرقه, الرياض, Saudi Arabia</v>
      </c>
      <c r="K2" s="18">
        <v>24.684146</v>
      </c>
      <c r="L2" s="18">
        <v>46.582611</v>
      </c>
      <c r="M2" s="18">
        <v>2000</v>
      </c>
      <c r="N2" s="18" t="s">
        <v>562</v>
      </c>
    </row>
    <row r="3" ht="15" customHeight="1" spans="1:14" x14ac:dyDescent="0.25">
      <c r="A3" s="13" t="s">
        <v>563</v>
      </c>
      <c r="B3" s="13">
        <v>1</v>
      </c>
      <c r="C3" s="14" t="s">
        <v>44</v>
      </c>
      <c r="D3" s="13" t="s">
        <v>106</v>
      </c>
      <c r="E3" s="14" t="s">
        <v>44</v>
      </c>
      <c r="F3" s="14" t="s">
        <v>564</v>
      </c>
      <c r="G3" s="13" t="s">
        <v>113</v>
      </c>
      <c r="H3" s="18" t="str">
        <f>IFERROR(INDEX('المحافظات Governorates'!$E$2:$E$151,MATCH(D3,'المحافظات Governorates'!$A$2:$A$151,0)),"")</f>
        <v>Riyadh</v>
      </c>
      <c r="I3" s="18" t="str">
        <f>IFERROR(INDEX('المناطق Regions'!$C$2:$C$15,MATCH(B3,'المناطق Regions'!$A$2:$A$15,0)),"")</f>
        <v>Riyadh</v>
      </c>
      <c r="J3" s="18" t="str">
        <f>F3&amp;", "&amp;E3&amp;", Saudi Arabia"</f>
        <v>الحائر, الرياض, Saudi Arabia</v>
      </c>
      <c r="K3" s="18">
        <v>24.402222</v>
      </c>
      <c r="L3" s="18">
        <v>46.836667</v>
      </c>
      <c r="M3" s="18">
        <v>2000</v>
      </c>
      <c r="N3" s="18" t="s">
        <v>562</v>
      </c>
    </row>
    <row r="4" ht="15" customHeight="1" spans="1:14" x14ac:dyDescent="0.25">
      <c r="A4" s="11" t="s">
        <v>565</v>
      </c>
      <c r="B4" s="11">
        <v>1</v>
      </c>
      <c r="C4" s="12" t="s">
        <v>44</v>
      </c>
      <c r="D4" s="11" t="s">
        <v>106</v>
      </c>
      <c r="E4" s="12" t="s">
        <v>44</v>
      </c>
      <c r="F4" s="12" t="s">
        <v>566</v>
      </c>
      <c r="G4" s="11" t="s">
        <v>113</v>
      </c>
      <c r="H4" s="18" t="str">
        <f>IFERROR(INDEX('المحافظات Governorates'!$E$2:$E$151,MATCH(D4,'المحافظات Governorates'!$A$2:$A$151,0)),"")</f>
        <v>Riyadh</v>
      </c>
      <c r="I4" s="18" t="str">
        <f>IFERROR(INDEX('المناطق Regions'!$C$2:$C$15,MATCH(B4,'المناطق Regions'!$A$2:$A$15,0)),"")</f>
        <v>Riyadh</v>
      </c>
      <c r="J4" s="18" t="str">
        <f>F4&amp;", "&amp;E4&amp;", Saudi Arabia"</f>
        <v>هيت, الرياض, Saudi Arabia</v>
      </c>
      <c r="K4" s="18">
        <v>24.460556</v>
      </c>
      <c r="L4" s="18">
        <v>47.0025</v>
      </c>
      <c r="M4" s="18">
        <v>2000</v>
      </c>
      <c r="N4" s="18" t="s">
        <v>562</v>
      </c>
    </row>
    <row r="5" ht="15" customHeight="1" spans="1:14" x14ac:dyDescent="0.25">
      <c r="A5" s="13" t="s">
        <v>567</v>
      </c>
      <c r="B5" s="13">
        <v>1</v>
      </c>
      <c r="C5" s="14" t="s">
        <v>44</v>
      </c>
      <c r="D5" s="13" t="s">
        <v>106</v>
      </c>
      <c r="E5" s="14" t="s">
        <v>44</v>
      </c>
      <c r="F5" s="14" t="s">
        <v>568</v>
      </c>
      <c r="G5" s="13" t="s">
        <v>149</v>
      </c>
      <c r="H5" s="18" t="str">
        <f>IFERROR(INDEX('المحافظات Governorates'!$E$2:$E$151,MATCH(D5,'المحافظات Governorates'!$A$2:$A$151,0)),"")</f>
        <v>Riyadh</v>
      </c>
      <c r="I5" s="18" t="str">
        <f>IFERROR(INDEX('المناطق Regions'!$C$2:$C$15,MATCH(B5,'المناطق Regions'!$A$2:$A$15,0)),"")</f>
        <v>Riyadh</v>
      </c>
      <c r="J5" s="18" t="str">
        <f>F5&amp;", "&amp;E5&amp;", Saudi Arabia"</f>
        <v>بنبان, الرياض, Saudi Arabia</v>
      </c>
      <c r="K5" s="18">
        <v>25.001667</v>
      </c>
      <c r="L5" s="18">
        <v>46.588056</v>
      </c>
      <c r="M5" s="18">
        <v>2000</v>
      </c>
      <c r="N5" s="18" t="s">
        <v>562</v>
      </c>
    </row>
    <row r="6" ht="15" customHeight="1" spans="1:14" x14ac:dyDescent="0.25">
      <c r="A6" s="11" t="s">
        <v>569</v>
      </c>
      <c r="B6" s="11">
        <v>1</v>
      </c>
      <c r="C6" s="12" t="s">
        <v>44</v>
      </c>
      <c r="D6" s="11" t="s">
        <v>106</v>
      </c>
      <c r="E6" s="12" t="s">
        <v>44</v>
      </c>
      <c r="F6" s="12" t="s">
        <v>570</v>
      </c>
      <c r="G6" s="11" t="s">
        <v>149</v>
      </c>
      <c r="H6" s="18" t="str">
        <f>IFERROR(INDEX('المحافظات Governorates'!$E$2:$E$151,MATCH(D6,'المحافظات Governorates'!$A$2:$A$151,0)),"")</f>
        <v>Riyadh</v>
      </c>
      <c r="I6" s="18" t="str">
        <f>IFERROR(INDEX('المناطق Regions'!$C$2:$C$15,MATCH(B6,'المناطق Regions'!$A$2:$A$15,0)),"")</f>
        <v>Riyadh</v>
      </c>
      <c r="J6" s="18" t="str">
        <f>F6&amp;", "&amp;E6&amp;", Saudi Arabia"</f>
        <v>العماجية, الرياض, Saudi Arabia</v>
      </c>
      <c r="K6" s="18">
        <v>24.440166</v>
      </c>
      <c r="L6" s="18">
        <v>46.978746</v>
      </c>
      <c r="M6" s="18">
        <v>2000</v>
      </c>
      <c r="N6" s="18" t="s">
        <v>562</v>
      </c>
    </row>
    <row r="7" ht="15" customHeight="1" spans="1:14" x14ac:dyDescent="0.25">
      <c r="A7" s="13" t="s">
        <v>571</v>
      </c>
      <c r="B7" s="13">
        <v>1</v>
      </c>
      <c r="C7" s="14" t="s">
        <v>44</v>
      </c>
      <c r="D7" s="13" t="s">
        <v>106</v>
      </c>
      <c r="E7" s="14" t="s">
        <v>44</v>
      </c>
      <c r="F7" s="14" t="s">
        <v>572</v>
      </c>
      <c r="G7" s="13" t="s">
        <v>149</v>
      </c>
      <c r="H7" s="18" t="str">
        <f>IFERROR(INDEX('المحافظات Governorates'!$E$2:$E$151,MATCH(D7,'المحافظات Governorates'!$A$2:$A$151,0)),"")</f>
        <v>Riyadh</v>
      </c>
      <c r="I7" s="18" t="str">
        <f>IFERROR(INDEX('المناطق Regions'!$C$2:$C$15,MATCH(B7,'المناطق Regions'!$A$2:$A$15,0)),"")</f>
        <v>Riyadh</v>
      </c>
      <c r="J7" s="18" t="str">
        <f>F7&amp;", "&amp;E7&amp;", Saudi Arabia"</f>
        <v>دبيان, الرياض, Saudi Arabia</v>
      </c>
      <c r="K7" s="18">
        <v>24.601468</v>
      </c>
      <c r="L7" s="18">
        <v>47.138515</v>
      </c>
      <c r="M7" s="18">
        <v>2000</v>
      </c>
      <c r="N7" s="18" t="s">
        <v>562</v>
      </c>
    </row>
    <row r="8" ht="15" customHeight="1" spans="1:14" x14ac:dyDescent="0.25">
      <c r="A8" s="11" t="s">
        <v>573</v>
      </c>
      <c r="B8" s="11">
        <v>1</v>
      </c>
      <c r="C8" s="12" t="s">
        <v>44</v>
      </c>
      <c r="D8" s="11" t="s">
        <v>110</v>
      </c>
      <c r="E8" s="12" t="s">
        <v>111</v>
      </c>
      <c r="F8" s="12" t="s">
        <v>574</v>
      </c>
      <c r="G8" s="11" t="s">
        <v>113</v>
      </c>
      <c r="H8" s="18" t="str">
        <f>IFERROR(INDEX('المحافظات Governorates'!$E$2:$E$151,MATCH(D8,'المحافظات Governorates'!$A$2:$A$151,0)),"")</f>
        <v>Ad-Diriyah</v>
      </c>
      <c r="I8" s="18" t="str">
        <f>IFERROR(INDEX('المناطق Regions'!$C$2:$C$15,MATCH(B8,'المناطق Regions'!$A$2:$A$15,0)),"")</f>
        <v>Riyadh</v>
      </c>
      <c r="J8" s="18" t="str">
        <f>F8&amp;", "&amp;E8&amp;", Saudi Arabia"</f>
        <v>العيينة والجبيلة, الدرعيه, Saudi Arabia</v>
      </c>
      <c r="K8" s="18">
        <v>24.878069</v>
      </c>
      <c r="L8" s="18">
        <v>46.373483</v>
      </c>
      <c r="M8" s="18">
        <v>33712</v>
      </c>
      <c r="N8" s="18" t="s">
        <v>575</v>
      </c>
    </row>
    <row r="9" ht="15" customHeight="1" spans="1:14" x14ac:dyDescent="0.25">
      <c r="A9" s="13" t="s">
        <v>576</v>
      </c>
      <c r="B9" s="13">
        <v>1</v>
      </c>
      <c r="C9" s="14" t="s">
        <v>44</v>
      </c>
      <c r="D9" s="13" t="s">
        <v>110</v>
      </c>
      <c r="E9" s="14" t="s">
        <v>111</v>
      </c>
      <c r="F9" s="14" t="s">
        <v>577</v>
      </c>
      <c r="G9" s="13" t="s">
        <v>113</v>
      </c>
      <c r="H9" s="18" t="str">
        <f>IFERROR(INDEX('المحافظات Governorates'!$E$2:$E$151,MATCH(D9,'المحافظات Governorates'!$A$2:$A$151,0)),"")</f>
        <v>Ad-Diriyah</v>
      </c>
      <c r="I9" s="18" t="str">
        <f>IFERROR(INDEX('المناطق Regions'!$C$2:$C$15,MATCH(B9,'المناطق Regions'!$A$2:$A$15,0)),"")</f>
        <v>Riyadh</v>
      </c>
      <c r="J9" s="18" t="str">
        <f>F9&amp;", "&amp;E9&amp;", Saudi Arabia"</f>
        <v>العماريه, الدرعيه, Saudi Arabia</v>
      </c>
      <c r="K9" s="18">
        <v>24.794167</v>
      </c>
      <c r="L9" s="18">
        <v>46.423333</v>
      </c>
      <c r="M9" s="18">
        <v>2000</v>
      </c>
      <c r="N9" s="18" t="s">
        <v>562</v>
      </c>
    </row>
    <row r="10" ht="15" customHeight="1" spans="1:14" x14ac:dyDescent="0.25">
      <c r="A10" s="11" t="s">
        <v>578</v>
      </c>
      <c r="B10" s="11">
        <v>1</v>
      </c>
      <c r="C10" s="12" t="s">
        <v>44</v>
      </c>
      <c r="D10" s="11" t="s">
        <v>110</v>
      </c>
      <c r="E10" s="12" t="s">
        <v>111</v>
      </c>
      <c r="F10" s="12" t="s">
        <v>579</v>
      </c>
      <c r="G10" s="11" t="s">
        <v>149</v>
      </c>
      <c r="H10" s="18" t="str">
        <f>IFERROR(INDEX('المحافظات Governorates'!$E$2:$E$151,MATCH(D10,'المحافظات Governorates'!$A$2:$A$151,0)),"")</f>
        <v>Ad-Diriyah</v>
      </c>
      <c r="I10" s="18" t="str">
        <f>IFERROR(INDEX('المناطق Regions'!$C$2:$C$15,MATCH(B10,'المناطق Regions'!$A$2:$A$15,0)),"")</f>
        <v>Riyadh</v>
      </c>
      <c r="J10" s="18" t="str">
        <f>F10&amp;", "&amp;E10&amp;", Saudi Arabia"</f>
        <v>بوضه, الدرعيه, Saudi Arabia</v>
      </c>
      <c r="K10" s="18">
        <v>24.898654</v>
      </c>
      <c r="L10" s="18">
        <v>46.299256</v>
      </c>
      <c r="M10" s="18">
        <v>2000</v>
      </c>
      <c r="N10" s="18" t="s">
        <v>562</v>
      </c>
    </row>
    <row r="11" ht="15" customHeight="1" spans="1:14" x14ac:dyDescent="0.25">
      <c r="A11" s="13" t="s">
        <v>580</v>
      </c>
      <c r="B11" s="13">
        <v>1</v>
      </c>
      <c r="C11" s="14" t="s">
        <v>44</v>
      </c>
      <c r="D11" s="13" t="s">
        <v>110</v>
      </c>
      <c r="E11" s="14" t="s">
        <v>111</v>
      </c>
      <c r="F11" s="14" t="s">
        <v>581</v>
      </c>
      <c r="G11" s="13" t="s">
        <v>113</v>
      </c>
      <c r="H11" s="18" t="str">
        <f>IFERROR(INDEX('المحافظات Governorates'!$E$2:$E$151,MATCH(D11,'المحافظات Governorates'!$A$2:$A$151,0)),"")</f>
        <v>Ad-Diriyah</v>
      </c>
      <c r="I11" s="18" t="str">
        <f>IFERROR(INDEX('المناطق Regions'!$C$2:$C$15,MATCH(B11,'المناطق Regions'!$A$2:$A$15,0)),"")</f>
        <v>Riyadh</v>
      </c>
      <c r="J11" s="18" t="str">
        <f>F11&amp;", "&amp;E11&amp;", Saudi Arabia"</f>
        <v>سلطانة, الدرعيه, Saudi Arabia</v>
      </c>
      <c r="K11" s="18">
        <v>24.878069</v>
      </c>
      <c r="L11" s="18">
        <v>46.373483</v>
      </c>
      <c r="M11" s="18">
        <v>33712</v>
      </c>
      <c r="N11" s="18" t="s">
        <v>575</v>
      </c>
    </row>
    <row r="12" ht="15" customHeight="1" spans="1:14" x14ac:dyDescent="0.25">
      <c r="A12" s="11" t="s">
        <v>582</v>
      </c>
      <c r="B12" s="11">
        <v>1</v>
      </c>
      <c r="C12" s="12" t="s">
        <v>44</v>
      </c>
      <c r="D12" s="11" t="s">
        <v>110</v>
      </c>
      <c r="E12" s="12" t="s">
        <v>111</v>
      </c>
      <c r="F12" s="12" t="s">
        <v>583</v>
      </c>
      <c r="G12" s="11" t="s">
        <v>149</v>
      </c>
      <c r="H12" s="18" t="str">
        <f>IFERROR(INDEX('المحافظات Governorates'!$E$2:$E$151,MATCH(D12,'المحافظات Governorates'!$A$2:$A$151,0)),"")</f>
        <v>Ad-Diriyah</v>
      </c>
      <c r="I12" s="18" t="str">
        <f>IFERROR(INDEX('المناطق Regions'!$C$2:$C$15,MATCH(B12,'المناطق Regions'!$A$2:$A$15,0)),"")</f>
        <v>Riyadh</v>
      </c>
      <c r="J12" s="18" t="str">
        <f>F12&amp;", "&amp;E12&amp;", Saudi Arabia"</f>
        <v>حزوى, الدرعيه, Saudi Arabia</v>
      </c>
      <c r="K12" s="18">
        <v>24.991605</v>
      </c>
      <c r="L12" s="18">
        <v>46.232075</v>
      </c>
      <c r="M12" s="18">
        <v>2000</v>
      </c>
      <c r="N12" s="18" t="s">
        <v>562</v>
      </c>
    </row>
    <row r="13" ht="15" customHeight="1" spans="1:14" x14ac:dyDescent="0.25">
      <c r="A13" s="13" t="s">
        <v>584</v>
      </c>
      <c r="B13" s="13">
        <v>1</v>
      </c>
      <c r="C13" s="14" t="s">
        <v>44</v>
      </c>
      <c r="D13" s="13" t="s">
        <v>110</v>
      </c>
      <c r="E13" s="14" t="s">
        <v>111</v>
      </c>
      <c r="F13" s="14" t="s">
        <v>585</v>
      </c>
      <c r="G13" s="13" t="s">
        <v>113</v>
      </c>
      <c r="H13" s="18" t="str">
        <f>IFERROR(INDEX('المحافظات Governorates'!$E$2:$E$151,MATCH(D13,'المحافظات Governorates'!$A$2:$A$151,0)),"")</f>
        <v>Ad-Diriyah</v>
      </c>
      <c r="I13" s="18" t="str">
        <f>IFERROR(INDEX('المناطق Regions'!$C$2:$C$15,MATCH(B13,'المناطق Regions'!$A$2:$A$15,0)),"")</f>
        <v>Riyadh</v>
      </c>
      <c r="J13" s="18" t="str">
        <f>F13&amp;", "&amp;E13&amp;", Saudi Arabia"</f>
        <v>سدوس, الدرعيه, Saudi Arabia</v>
      </c>
      <c r="K13" s="18">
        <v>24.991667</v>
      </c>
      <c r="L13" s="18">
        <v>46.2075</v>
      </c>
      <c r="M13" s="18">
        <v>2000</v>
      </c>
      <c r="N13" s="18" t="s">
        <v>562</v>
      </c>
    </row>
    <row r="14" ht="15" customHeight="1" spans="1:14" x14ac:dyDescent="0.25">
      <c r="A14" s="11" t="s">
        <v>586</v>
      </c>
      <c r="B14" s="11">
        <v>1</v>
      </c>
      <c r="C14" s="12" t="s">
        <v>44</v>
      </c>
      <c r="D14" s="11" t="s">
        <v>115</v>
      </c>
      <c r="E14" s="12" t="s">
        <v>116</v>
      </c>
      <c r="F14" s="12" t="s">
        <v>587</v>
      </c>
      <c r="G14" s="11" t="s">
        <v>113</v>
      </c>
      <c r="H14" s="18" t="str">
        <f>IFERROR(INDEX('المحافظات Governorates'!$E$2:$E$151,MATCH(D14,'المحافظات Governorates'!$A$2:$A$151,0)),"")</f>
        <v>Al-Kharj</v>
      </c>
      <c r="I14" s="18" t="str">
        <f>IFERROR(INDEX('المناطق Regions'!$C$2:$C$15,MATCH(B14,'المناطق Regions'!$A$2:$A$15,0)),"")</f>
        <v>Riyadh</v>
      </c>
      <c r="J14" s="18" t="str">
        <f>F14&amp;", "&amp;E14&amp;", Saudi Arabia"</f>
        <v>الهياثم, الخرج, Saudi Arabia</v>
      </c>
      <c r="K14" s="18">
        <v>24.16555</v>
      </c>
      <c r="L14" s="18">
        <v>47.237637</v>
      </c>
      <c r="M14" s="18">
        <v>2000</v>
      </c>
      <c r="N14" s="18" t="s">
        <v>562</v>
      </c>
    </row>
    <row r="15" ht="15" customHeight="1" spans="1:14" x14ac:dyDescent="0.25">
      <c r="A15" s="13" t="s">
        <v>588</v>
      </c>
      <c r="B15" s="13">
        <v>1</v>
      </c>
      <c r="C15" s="14" t="s">
        <v>44</v>
      </c>
      <c r="D15" s="13" t="s">
        <v>175</v>
      </c>
      <c r="E15" s="14" t="s">
        <v>176</v>
      </c>
      <c r="F15" s="14" t="s">
        <v>589</v>
      </c>
      <c r="G15" s="13" t="s">
        <v>113</v>
      </c>
      <c r="H15" s="18" t="str">
        <f>IFERROR(INDEX('المحافظات Governorates'!$E$2:$E$151,MATCH(D15,'المحافظات Governorates'!$A$2:$A$151,0)),"")</f>
        <v>Ad-Dilam</v>
      </c>
      <c r="I15" s="18" t="str">
        <f>IFERROR(INDEX('المناطق Regions'!$C$2:$C$15,MATCH(B15,'المناطق Regions'!$A$2:$A$15,0)),"")</f>
        <v>Riyadh</v>
      </c>
      <c r="J15" s="18" t="str">
        <f>F15&amp;", "&amp;E15&amp;", Saudi Arabia"</f>
        <v>نعجان, الدلم, Saudi Arabia</v>
      </c>
      <c r="K15" s="18">
        <v>24.077461</v>
      </c>
      <c r="L15" s="18">
        <v>47.165904</v>
      </c>
      <c r="M15" s="18">
        <v>2000</v>
      </c>
      <c r="N15" s="18" t="s">
        <v>562</v>
      </c>
    </row>
    <row r="16" ht="15" customHeight="1" spans="1:14" x14ac:dyDescent="0.25">
      <c r="A16" s="11" t="s">
        <v>590</v>
      </c>
      <c r="B16" s="11">
        <v>1</v>
      </c>
      <c r="C16" s="12" t="s">
        <v>44</v>
      </c>
      <c r="D16" s="11" t="s">
        <v>115</v>
      </c>
      <c r="E16" s="12" t="s">
        <v>116</v>
      </c>
      <c r="F16" s="12" t="s">
        <v>591</v>
      </c>
      <c r="G16" s="11" t="s">
        <v>113</v>
      </c>
      <c r="H16" s="18" t="str">
        <f>IFERROR(INDEX('المحافظات Governorates'!$E$2:$E$151,MATCH(D16,'المحافظات Governorates'!$A$2:$A$151,0)),"")</f>
        <v>Al-Kharj</v>
      </c>
      <c r="I16" s="18" t="str">
        <f>IFERROR(INDEX('المناطق Regions'!$C$2:$C$15,MATCH(B16,'المناطق Regions'!$A$2:$A$15,0)),"")</f>
        <v>Riyadh</v>
      </c>
      <c r="J16" s="18" t="str">
        <f>F16&amp;", "&amp;E16&amp;", Saudi Arabia"</f>
        <v>السلميه, الخرج, Saudi Arabia</v>
      </c>
      <c r="K16" s="18">
        <v>24.214926</v>
      </c>
      <c r="L16" s="18">
        <v>47.294052</v>
      </c>
      <c r="M16" s="18">
        <v>2000</v>
      </c>
      <c r="N16" s="18" t="s">
        <v>562</v>
      </c>
    </row>
    <row r="17" ht="15" customHeight="1" spans="1:14" x14ac:dyDescent="0.25">
      <c r="A17" s="13" t="s">
        <v>592</v>
      </c>
      <c r="B17" s="13">
        <v>1</v>
      </c>
      <c r="C17" s="14" t="s">
        <v>44</v>
      </c>
      <c r="D17" s="13" t="s">
        <v>115</v>
      </c>
      <c r="E17" s="14" t="s">
        <v>116</v>
      </c>
      <c r="F17" s="14" t="s">
        <v>593</v>
      </c>
      <c r="G17" s="13" t="s">
        <v>113</v>
      </c>
      <c r="H17" s="18" t="str">
        <f>IFERROR(INDEX('المحافظات Governorates'!$E$2:$E$151,MATCH(D17,'المحافظات Governorates'!$A$2:$A$151,0)),"")</f>
        <v>Al-Kharj</v>
      </c>
      <c r="I17" s="18" t="str">
        <f>IFERROR(INDEX('المناطق Regions'!$C$2:$C$15,MATCH(B17,'المناطق Regions'!$A$2:$A$15,0)),"")</f>
        <v>Riyadh</v>
      </c>
      <c r="J17" s="18" t="str">
        <f>F17&amp;", "&amp;E17&amp;", Saudi Arabia"</f>
        <v>اليمامه, الخرج, Saudi Arabia</v>
      </c>
      <c r="K17" s="18">
        <v>24.182111</v>
      </c>
      <c r="L17" s="18">
        <v>47.327748</v>
      </c>
      <c r="M17" s="18">
        <v>2000</v>
      </c>
      <c r="N17" s="18" t="s">
        <v>562</v>
      </c>
    </row>
    <row r="18" ht="15" customHeight="1" spans="1:14" x14ac:dyDescent="0.25">
      <c r="A18" s="11" t="s">
        <v>594</v>
      </c>
      <c r="B18" s="11">
        <v>1</v>
      </c>
      <c r="C18" s="12" t="s">
        <v>44</v>
      </c>
      <c r="D18" s="11" t="s">
        <v>115</v>
      </c>
      <c r="E18" s="12" t="s">
        <v>116</v>
      </c>
      <c r="F18" s="12" t="s">
        <v>595</v>
      </c>
      <c r="G18" s="11" t="s">
        <v>113</v>
      </c>
      <c r="H18" s="18" t="str">
        <f>IFERROR(INDEX('المحافظات Governorates'!$E$2:$E$151,MATCH(D18,'المحافظات Governorates'!$A$2:$A$151,0)),"")</f>
        <v>Al-Kharj</v>
      </c>
      <c r="I18" s="18" t="str">
        <f>IFERROR(INDEX('المناطق Regions'!$C$2:$C$15,MATCH(B18,'المناطق Regions'!$A$2:$A$15,0)),"")</f>
        <v>Riyadh</v>
      </c>
      <c r="J18" s="18" t="str">
        <f>F18&amp;", "&amp;E18&amp;", Saudi Arabia"</f>
        <v>الوسيطاء, الخرج, Saudi Arabia</v>
      </c>
      <c r="K18" s="18">
        <v>23.867866</v>
      </c>
      <c r="L18" s="18">
        <v>47.651528</v>
      </c>
      <c r="M18" s="18">
        <v>104356</v>
      </c>
      <c r="N18" s="18" t="s">
        <v>596</v>
      </c>
    </row>
    <row r="19" ht="15" customHeight="1" spans="1:14" x14ac:dyDescent="0.25">
      <c r="A19" s="13" t="s">
        <v>597</v>
      </c>
      <c r="B19" s="13">
        <v>1</v>
      </c>
      <c r="C19" s="14" t="s">
        <v>44</v>
      </c>
      <c r="D19" s="13" t="s">
        <v>175</v>
      </c>
      <c r="E19" s="14" t="s">
        <v>176</v>
      </c>
      <c r="F19" s="14" t="s">
        <v>598</v>
      </c>
      <c r="G19" s="13" t="s">
        <v>113</v>
      </c>
      <c r="H19" s="18" t="str">
        <f>IFERROR(INDEX('المحافظات Governorates'!$E$2:$E$151,MATCH(D19,'المحافظات Governorates'!$A$2:$A$151,0)),"")</f>
        <v>Ad-Dilam</v>
      </c>
      <c r="I19" s="18" t="str">
        <f>IFERROR(INDEX('المناطق Regions'!$C$2:$C$15,MATCH(B19,'المناطق Regions'!$A$2:$A$15,0)),"")</f>
        <v>Riyadh</v>
      </c>
      <c r="J19" s="18" t="str">
        <f>F19&amp;", "&amp;E19&amp;", Saudi Arabia"</f>
        <v>الضبيعه, الدلم, Saudi Arabia</v>
      </c>
      <c r="K19" s="18">
        <v>24.098102</v>
      </c>
      <c r="L19" s="18">
        <v>47.17225</v>
      </c>
      <c r="M19" s="18">
        <v>2000</v>
      </c>
      <c r="N19" s="18" t="s">
        <v>562</v>
      </c>
    </row>
    <row r="20" ht="15" customHeight="1" spans="1:14" x14ac:dyDescent="0.25">
      <c r="A20" s="11" t="s">
        <v>599</v>
      </c>
      <c r="B20" s="11">
        <v>1</v>
      </c>
      <c r="C20" s="12" t="s">
        <v>44</v>
      </c>
      <c r="D20" s="11" t="s">
        <v>175</v>
      </c>
      <c r="E20" s="12" t="s">
        <v>176</v>
      </c>
      <c r="F20" s="12" t="s">
        <v>600</v>
      </c>
      <c r="G20" s="11" t="s">
        <v>113</v>
      </c>
      <c r="H20" s="18" t="str">
        <f>IFERROR(INDEX('المحافظات Governorates'!$E$2:$E$151,MATCH(D20,'المحافظات Governorates'!$A$2:$A$151,0)),"")</f>
        <v>Ad-Dilam</v>
      </c>
      <c r="I20" s="18" t="str">
        <f>IFERROR(INDEX('المناطق Regions'!$C$2:$C$15,MATCH(B20,'المناطق Regions'!$A$2:$A$15,0)),"")</f>
        <v>Riyadh</v>
      </c>
      <c r="J20" s="18" t="str">
        <f>F20&amp;", "&amp;E20&amp;", Saudi Arabia"</f>
        <v>الحزم, الدلم, Saudi Arabia</v>
      </c>
      <c r="K20" s="18">
        <v>24.133357</v>
      </c>
      <c r="L20" s="18">
        <v>47.152952</v>
      </c>
      <c r="M20" s="18">
        <v>2000</v>
      </c>
      <c r="N20" s="18" t="s">
        <v>562</v>
      </c>
    </row>
    <row r="21" ht="15" customHeight="1" spans="1:14" x14ac:dyDescent="0.25">
      <c r="A21" s="13" t="s">
        <v>601</v>
      </c>
      <c r="B21" s="13">
        <v>1</v>
      </c>
      <c r="C21" s="14" t="s">
        <v>44</v>
      </c>
      <c r="D21" s="13" t="s">
        <v>115</v>
      </c>
      <c r="E21" s="14" t="s">
        <v>116</v>
      </c>
      <c r="F21" s="14" t="s">
        <v>602</v>
      </c>
      <c r="G21" s="13" t="s">
        <v>113</v>
      </c>
      <c r="H21" s="18" t="str">
        <f>IFERROR(INDEX('المحافظات Governorates'!$E$2:$E$151,MATCH(D21,'المحافظات Governorates'!$A$2:$A$151,0)),"")</f>
        <v>Al-Kharj</v>
      </c>
      <c r="I21" s="18" t="str">
        <f>IFERROR(INDEX('المناطق Regions'!$C$2:$C$15,MATCH(B21,'المناطق Regions'!$A$2:$A$15,0)),"")</f>
        <v>Riyadh</v>
      </c>
      <c r="J21" s="18" t="str">
        <f>F21&amp;", "&amp;E21&amp;", Saudi Arabia"</f>
        <v>الرفيعه, الخرج, Saudi Arabia</v>
      </c>
      <c r="K21" s="18">
        <v>24.192511</v>
      </c>
      <c r="L21" s="18">
        <v>47.27009</v>
      </c>
      <c r="M21" s="18">
        <v>2000</v>
      </c>
      <c r="N21" s="18" t="s">
        <v>562</v>
      </c>
    </row>
    <row r="22" ht="15" customHeight="1" spans="1:14" x14ac:dyDescent="0.25">
      <c r="A22" s="11" t="s">
        <v>603</v>
      </c>
      <c r="B22" s="11">
        <v>1</v>
      </c>
      <c r="C22" s="12" t="s">
        <v>44</v>
      </c>
      <c r="D22" s="11" t="s">
        <v>115</v>
      </c>
      <c r="E22" s="12" t="s">
        <v>116</v>
      </c>
      <c r="F22" s="12" t="s">
        <v>604</v>
      </c>
      <c r="G22" s="11" t="s">
        <v>113</v>
      </c>
      <c r="H22" s="18" t="str">
        <f>IFERROR(INDEX('المحافظات Governorates'!$E$2:$E$151,MATCH(D22,'المحافظات Governorates'!$A$2:$A$151,0)),"")</f>
        <v>Al-Kharj</v>
      </c>
      <c r="I22" s="18" t="str">
        <f>IFERROR(INDEX('المناطق Regions'!$C$2:$C$15,MATCH(B22,'المناطق Regions'!$A$2:$A$15,0)),"")</f>
        <v>Riyadh</v>
      </c>
      <c r="J22" s="18" t="str">
        <f>F22&amp;", "&amp;E22&amp;", Saudi Arabia"</f>
        <v>الرفايع, الخرج, Saudi Arabia</v>
      </c>
      <c r="K22" s="18">
        <v>24.322137</v>
      </c>
      <c r="L22" s="18">
        <v>47.165702</v>
      </c>
      <c r="M22" s="18">
        <v>2000</v>
      </c>
      <c r="N22" s="18" t="s">
        <v>562</v>
      </c>
    </row>
    <row r="23" ht="15" customHeight="1" spans="1:14" x14ac:dyDescent="0.25">
      <c r="A23" s="13" t="s">
        <v>605</v>
      </c>
      <c r="B23" s="13">
        <v>1</v>
      </c>
      <c r="C23" s="14" t="s">
        <v>44</v>
      </c>
      <c r="D23" s="13" t="s">
        <v>115</v>
      </c>
      <c r="E23" s="14" t="s">
        <v>116</v>
      </c>
      <c r="F23" s="14" t="s">
        <v>606</v>
      </c>
      <c r="G23" s="13" t="s">
        <v>113</v>
      </c>
      <c r="H23" s="18" t="str">
        <f>IFERROR(INDEX('المحافظات Governorates'!$E$2:$E$151,MATCH(D23,'المحافظات Governorates'!$A$2:$A$151,0)),"")</f>
        <v>Al-Kharj</v>
      </c>
      <c r="I23" s="18" t="str">
        <f>IFERROR(INDEX('المناطق Regions'!$C$2:$C$15,MATCH(B23,'المناطق Regions'!$A$2:$A$15,0)),"")</f>
        <v>Riyadh</v>
      </c>
      <c r="J23" s="18" t="str">
        <f>F23&amp;", "&amp;E23&amp;", Saudi Arabia"</f>
        <v>سميح, الخرج, Saudi Arabia</v>
      </c>
      <c r="K23" s="18">
        <v>23.867866</v>
      </c>
      <c r="L23" s="18">
        <v>47.651528</v>
      </c>
      <c r="M23" s="18">
        <v>104356</v>
      </c>
      <c r="N23" s="18" t="s">
        <v>596</v>
      </c>
    </row>
    <row r="24" ht="15" customHeight="1" spans="1:14" x14ac:dyDescent="0.25">
      <c r="A24" s="11" t="s">
        <v>607</v>
      </c>
      <c r="B24" s="11">
        <v>1</v>
      </c>
      <c r="C24" s="12" t="s">
        <v>44</v>
      </c>
      <c r="D24" s="11" t="s">
        <v>115</v>
      </c>
      <c r="E24" s="12" t="s">
        <v>116</v>
      </c>
      <c r="F24" s="12" t="s">
        <v>608</v>
      </c>
      <c r="G24" s="11" t="s">
        <v>113</v>
      </c>
      <c r="H24" s="18" t="str">
        <f>IFERROR(INDEX('المحافظات Governorates'!$E$2:$E$151,MATCH(D24,'المحافظات Governorates'!$A$2:$A$151,0)),"")</f>
        <v>Al-Kharj</v>
      </c>
      <c r="I24" s="18" t="str">
        <f>IFERROR(INDEX('المناطق Regions'!$C$2:$C$15,MATCH(B24,'المناطق Regions'!$A$2:$A$15,0)),"")</f>
        <v>Riyadh</v>
      </c>
      <c r="J24" s="18" t="str">
        <f>F24&amp;", "&amp;E24&amp;", Saudi Arabia"</f>
        <v>الناصفه, الخرج, Saudi Arabia</v>
      </c>
      <c r="K24" s="18">
        <v>24.185697</v>
      </c>
      <c r="L24" s="18">
        <v>47.297789</v>
      </c>
      <c r="M24" s="18">
        <v>2000</v>
      </c>
      <c r="N24" s="18" t="s">
        <v>562</v>
      </c>
    </row>
    <row r="25" ht="15" customHeight="1" spans="1:14" x14ac:dyDescent="0.25">
      <c r="A25" s="13" t="s">
        <v>609</v>
      </c>
      <c r="B25" s="13">
        <v>1</v>
      </c>
      <c r="C25" s="14" t="s">
        <v>44</v>
      </c>
      <c r="D25" s="13" t="s">
        <v>175</v>
      </c>
      <c r="E25" s="14" t="s">
        <v>176</v>
      </c>
      <c r="F25" s="14" t="s">
        <v>610</v>
      </c>
      <c r="G25" s="13" t="s">
        <v>149</v>
      </c>
      <c r="H25" s="18" t="str">
        <f>IFERROR(INDEX('المحافظات Governorates'!$E$2:$E$151,MATCH(D25,'المحافظات Governorates'!$A$2:$A$151,0)),"")</f>
        <v>Ad-Dilam</v>
      </c>
      <c r="I25" s="18" t="str">
        <f>IFERROR(INDEX('المناطق Regions'!$C$2:$C$15,MATCH(B25,'المناطق Regions'!$A$2:$A$15,0)),"")</f>
        <v>Riyadh</v>
      </c>
      <c r="J25" s="18" t="str">
        <f>F25&amp;", "&amp;E25&amp;", Saudi Arabia"</f>
        <v>العين, الدلم, Saudi Arabia</v>
      </c>
      <c r="K25" s="18">
        <v>24.080839</v>
      </c>
      <c r="L25" s="18">
        <v>46.872227</v>
      </c>
      <c r="M25" s="18">
        <v>2000</v>
      </c>
      <c r="N25" s="18" t="s">
        <v>562</v>
      </c>
    </row>
    <row r="26" ht="15" customHeight="1" spans="1:14" x14ac:dyDescent="0.25">
      <c r="A26" s="11" t="s">
        <v>611</v>
      </c>
      <c r="B26" s="11">
        <v>1</v>
      </c>
      <c r="C26" s="12" t="s">
        <v>44</v>
      </c>
      <c r="D26" s="11" t="s">
        <v>175</v>
      </c>
      <c r="E26" s="12" t="s">
        <v>176</v>
      </c>
      <c r="F26" s="12" t="s">
        <v>612</v>
      </c>
      <c r="G26" s="11" t="s">
        <v>149</v>
      </c>
      <c r="H26" s="18" t="str">
        <f>IFERROR(INDEX('المحافظات Governorates'!$E$2:$E$151,MATCH(D26,'المحافظات Governorates'!$A$2:$A$151,0)),"")</f>
        <v>Ad-Dilam</v>
      </c>
      <c r="I26" s="18" t="str">
        <f>IFERROR(INDEX('المناطق Regions'!$C$2:$C$15,MATCH(B26,'المناطق Regions'!$A$2:$A$15,0)),"")</f>
        <v>Riyadh</v>
      </c>
      <c r="J26" s="18" t="str">
        <f>F26&amp;", "&amp;E26&amp;", Saudi Arabia"</f>
        <v>ماوان, الدلم, Saudi Arabia</v>
      </c>
      <c r="K26" s="18">
        <v>23.919511</v>
      </c>
      <c r="L26" s="18">
        <v>46.838154</v>
      </c>
      <c r="M26" s="18">
        <v>2000</v>
      </c>
      <c r="N26" s="18" t="s">
        <v>562</v>
      </c>
    </row>
    <row r="27" ht="15" customHeight="1" spans="1:14" x14ac:dyDescent="0.25">
      <c r="A27" s="13" t="s">
        <v>613</v>
      </c>
      <c r="B27" s="13">
        <v>1</v>
      </c>
      <c r="C27" s="14" t="s">
        <v>44</v>
      </c>
      <c r="D27" s="13" t="s">
        <v>115</v>
      </c>
      <c r="E27" s="14" t="s">
        <v>116</v>
      </c>
      <c r="F27" s="14" t="s">
        <v>614</v>
      </c>
      <c r="G27" s="13" t="s">
        <v>113</v>
      </c>
      <c r="H27" s="18" t="str">
        <f>IFERROR(INDEX('المحافظات Governorates'!$E$2:$E$151,MATCH(D27,'المحافظات Governorates'!$A$2:$A$151,0)),"")</f>
        <v>Al-Kharj</v>
      </c>
      <c r="I27" s="18" t="str">
        <f>IFERROR(INDEX('المناطق Regions'!$C$2:$C$15,MATCH(B27,'المناطق Regions'!$A$2:$A$15,0)),"")</f>
        <v>Riyadh</v>
      </c>
      <c r="J27" s="18" t="str">
        <f>F27&amp;", "&amp;E27&amp;", Saudi Arabia"</f>
        <v>بدع بن عرفج, الخرج, Saudi Arabia</v>
      </c>
      <c r="K27" s="18">
        <v>23.867866</v>
      </c>
      <c r="L27" s="18">
        <v>47.651528</v>
      </c>
      <c r="M27" s="18">
        <v>104356</v>
      </c>
      <c r="N27" s="18" t="s">
        <v>596</v>
      </c>
    </row>
    <row r="28" ht="15" customHeight="1" spans="1:14" x14ac:dyDescent="0.25">
      <c r="A28" s="11" t="s">
        <v>615</v>
      </c>
      <c r="B28" s="11">
        <v>1</v>
      </c>
      <c r="C28" s="12" t="s">
        <v>44</v>
      </c>
      <c r="D28" s="11" t="s">
        <v>115</v>
      </c>
      <c r="E28" s="12" t="s">
        <v>116</v>
      </c>
      <c r="F28" s="12" t="s">
        <v>616</v>
      </c>
      <c r="G28" s="11" t="s">
        <v>149</v>
      </c>
      <c r="H28" s="18" t="str">
        <f>IFERROR(INDEX('المحافظات Governorates'!$E$2:$E$151,MATCH(D28,'المحافظات Governorates'!$A$2:$A$151,0)),"")</f>
        <v>Al-Kharj</v>
      </c>
      <c r="I28" s="18" t="str">
        <f>IFERROR(INDEX('المناطق Regions'!$C$2:$C$15,MATCH(B28,'المناطق Regions'!$A$2:$A$15,0)),"")</f>
        <v>Riyadh</v>
      </c>
      <c r="J28" s="18" t="str">
        <f>F28&amp;", "&amp;E28&amp;", Saudi Arabia"</f>
        <v>السهباء, الخرج, Saudi Arabia</v>
      </c>
      <c r="K28" s="18">
        <v>24.195833</v>
      </c>
      <c r="L28" s="18">
        <v>47.380556</v>
      </c>
      <c r="M28" s="18">
        <v>2000</v>
      </c>
      <c r="N28" s="18" t="s">
        <v>562</v>
      </c>
    </row>
    <row r="29" ht="15" customHeight="1" spans="1:14" x14ac:dyDescent="0.25">
      <c r="A29" s="13" t="s">
        <v>617</v>
      </c>
      <c r="B29" s="13">
        <v>1</v>
      </c>
      <c r="C29" s="14" t="s">
        <v>44</v>
      </c>
      <c r="D29" s="13" t="s">
        <v>115</v>
      </c>
      <c r="E29" s="14" t="s">
        <v>116</v>
      </c>
      <c r="F29" s="14" t="s">
        <v>618</v>
      </c>
      <c r="G29" s="13" t="s">
        <v>149</v>
      </c>
      <c r="H29" s="18" t="str">
        <f>IFERROR(INDEX('المحافظات Governorates'!$E$2:$E$151,MATCH(D29,'المحافظات Governorates'!$A$2:$A$151,0)),"")</f>
        <v>Al-Kharj</v>
      </c>
      <c r="I29" s="18" t="str">
        <f>IFERROR(INDEX('المناطق Regions'!$C$2:$C$15,MATCH(B29,'المناطق Regions'!$A$2:$A$15,0)),"")</f>
        <v>Riyadh</v>
      </c>
      <c r="J29" s="18" t="str">
        <f>F29&amp;", "&amp;E29&amp;", Saudi Arabia"</f>
        <v>مقبوله, الخرج, Saudi Arabia</v>
      </c>
      <c r="K29" s="18">
        <v>23.867866</v>
      </c>
      <c r="L29" s="18">
        <v>47.651528</v>
      </c>
      <c r="M29" s="18">
        <v>104356</v>
      </c>
      <c r="N29" s="18" t="s">
        <v>596</v>
      </c>
    </row>
    <row r="30" ht="15" customHeight="1" spans="1:14" x14ac:dyDescent="0.25">
      <c r="A30" s="11" t="s">
        <v>619</v>
      </c>
      <c r="B30" s="11">
        <v>1</v>
      </c>
      <c r="C30" s="12" t="s">
        <v>44</v>
      </c>
      <c r="D30" s="11" t="s">
        <v>115</v>
      </c>
      <c r="E30" s="12" t="s">
        <v>116</v>
      </c>
      <c r="F30" s="12" t="s">
        <v>404</v>
      </c>
      <c r="G30" s="11" t="s">
        <v>113</v>
      </c>
      <c r="H30" s="18" t="str">
        <f>IFERROR(INDEX('المحافظات Governorates'!$E$2:$E$151,MATCH(D30,'المحافظات Governorates'!$A$2:$A$151,0)),"")</f>
        <v>Al-Kharj</v>
      </c>
      <c r="I30" s="18" t="str">
        <f>IFERROR(INDEX('المناطق Regions'!$C$2:$C$15,MATCH(B30,'المناطق Regions'!$A$2:$A$15,0)),"")</f>
        <v>Riyadh</v>
      </c>
      <c r="J30" s="18" t="str">
        <f>F30&amp;", "&amp;E30&amp;", Saudi Arabia"</f>
        <v>البدع, الخرج, Saudi Arabia</v>
      </c>
      <c r="K30" s="18">
        <v>24.206646</v>
      </c>
      <c r="L30" s="18">
        <v>47.256157</v>
      </c>
      <c r="M30" s="18">
        <v>2000</v>
      </c>
      <c r="N30" s="18" t="s">
        <v>562</v>
      </c>
    </row>
    <row r="31" ht="15" customHeight="1" spans="1:14" x14ac:dyDescent="0.25">
      <c r="A31" s="13" t="s">
        <v>620</v>
      </c>
      <c r="B31" s="13">
        <v>1</v>
      </c>
      <c r="C31" s="14" t="s">
        <v>44</v>
      </c>
      <c r="D31" s="13" t="s">
        <v>115</v>
      </c>
      <c r="E31" s="14" t="s">
        <v>116</v>
      </c>
      <c r="F31" s="14" t="s">
        <v>621</v>
      </c>
      <c r="G31" s="13" t="s">
        <v>113</v>
      </c>
      <c r="H31" s="18" t="str">
        <f>IFERROR(INDEX('المحافظات Governorates'!$E$2:$E$151,MATCH(D31,'المحافظات Governorates'!$A$2:$A$151,0)),"")</f>
        <v>Al-Kharj</v>
      </c>
      <c r="I31" s="18" t="str">
        <f>IFERROR(INDEX('المناطق Regions'!$C$2:$C$15,MATCH(B31,'المناطق Regions'!$A$2:$A$15,0)),"")</f>
        <v>Riyadh</v>
      </c>
      <c r="J31" s="18" t="str">
        <f>F31&amp;", "&amp;E31&amp;", Saudi Arabia"</f>
        <v>الشديده, الخرج, Saudi Arabia</v>
      </c>
      <c r="K31" s="18">
        <v>23.867866</v>
      </c>
      <c r="L31" s="18">
        <v>47.651528</v>
      </c>
      <c r="M31" s="18">
        <v>104356</v>
      </c>
      <c r="N31" s="18" t="s">
        <v>596</v>
      </c>
    </row>
    <row r="32" ht="15" customHeight="1" spans="1:14" x14ac:dyDescent="0.25">
      <c r="A32" s="11" t="s">
        <v>622</v>
      </c>
      <c r="B32" s="11">
        <v>1</v>
      </c>
      <c r="C32" s="12" t="s">
        <v>44</v>
      </c>
      <c r="D32" s="11" t="s">
        <v>115</v>
      </c>
      <c r="E32" s="12" t="s">
        <v>116</v>
      </c>
      <c r="F32" s="12" t="s">
        <v>623</v>
      </c>
      <c r="G32" s="11" t="s">
        <v>113</v>
      </c>
      <c r="H32" s="18" t="str">
        <f>IFERROR(INDEX('المحافظات Governorates'!$E$2:$E$151,MATCH(D32,'المحافظات Governorates'!$A$2:$A$151,0)),"")</f>
        <v>Al-Kharj</v>
      </c>
      <c r="I32" s="18" t="str">
        <f>IFERROR(INDEX('المناطق Regions'!$C$2:$C$15,MATCH(B32,'المناطق Regions'!$A$2:$A$15,0)),"")</f>
        <v>Riyadh</v>
      </c>
      <c r="J32" s="18" t="str">
        <f>F32&amp;", "&amp;E32&amp;", Saudi Arabia"</f>
        <v>البره, الخرج, Saudi Arabia</v>
      </c>
      <c r="K32" s="18">
        <v>24.238428</v>
      </c>
      <c r="L32" s="18">
        <v>47.243648</v>
      </c>
      <c r="M32" s="18">
        <v>2000</v>
      </c>
      <c r="N32" s="18" t="s">
        <v>562</v>
      </c>
    </row>
    <row r="33" ht="15" customHeight="1" spans="1:14" x14ac:dyDescent="0.25">
      <c r="A33" s="13" t="s">
        <v>624</v>
      </c>
      <c r="B33" s="13">
        <v>1</v>
      </c>
      <c r="C33" s="14" t="s">
        <v>44</v>
      </c>
      <c r="D33" s="13" t="s">
        <v>115</v>
      </c>
      <c r="E33" s="14" t="s">
        <v>116</v>
      </c>
      <c r="F33" s="14" t="s">
        <v>625</v>
      </c>
      <c r="G33" s="13" t="s">
        <v>149</v>
      </c>
      <c r="H33" s="18" t="str">
        <f>IFERROR(INDEX('المحافظات Governorates'!$E$2:$E$151,MATCH(D33,'المحافظات Governorates'!$A$2:$A$151,0)),"")</f>
        <v>Al-Kharj</v>
      </c>
      <c r="I33" s="18" t="str">
        <f>IFERROR(INDEX('المناطق Regions'!$C$2:$C$15,MATCH(B33,'المناطق Regions'!$A$2:$A$15,0)),"")</f>
        <v>Riyadh</v>
      </c>
      <c r="J33" s="18" t="str">
        <f>F33&amp;", "&amp;E33&amp;", Saudi Arabia"</f>
        <v>التوضحيه, الخرج, Saudi Arabia</v>
      </c>
      <c r="K33" s="18">
        <v>23.867866</v>
      </c>
      <c r="L33" s="18">
        <v>47.651528</v>
      </c>
      <c r="M33" s="18">
        <v>104356</v>
      </c>
      <c r="N33" s="18" t="s">
        <v>596</v>
      </c>
    </row>
    <row r="34" ht="15" customHeight="1" spans="1:14" x14ac:dyDescent="0.25">
      <c r="A34" s="11" t="s">
        <v>626</v>
      </c>
      <c r="B34" s="11">
        <v>1</v>
      </c>
      <c r="C34" s="12" t="s">
        <v>44</v>
      </c>
      <c r="D34" s="11" t="s">
        <v>175</v>
      </c>
      <c r="E34" s="12" t="s">
        <v>176</v>
      </c>
      <c r="F34" s="12" t="s">
        <v>627</v>
      </c>
      <c r="G34" s="11" t="s">
        <v>149</v>
      </c>
      <c r="H34" s="18" t="str">
        <f>IFERROR(INDEX('المحافظات Governorates'!$E$2:$E$151,MATCH(D34,'المحافظات Governorates'!$A$2:$A$151,0)),"")</f>
        <v>Ad-Dilam</v>
      </c>
      <c r="I34" s="18" t="str">
        <f>IFERROR(INDEX('المناطق Regions'!$C$2:$C$15,MATCH(B34,'المناطق Regions'!$A$2:$A$15,0)),"")</f>
        <v>Riyadh</v>
      </c>
      <c r="J34" s="18" t="str">
        <f>F34&amp;", "&amp;E34&amp;", Saudi Arabia"</f>
        <v>الرغيب, الدلم, Saudi Arabia</v>
      </c>
      <c r="K34" s="18">
        <v>23.876188</v>
      </c>
      <c r="L34" s="18">
        <v>47.068047</v>
      </c>
      <c r="M34" s="18">
        <v>2000</v>
      </c>
      <c r="N34" s="18" t="s">
        <v>562</v>
      </c>
    </row>
    <row r="35" ht="15" customHeight="1" spans="1:14" x14ac:dyDescent="0.25">
      <c r="A35" s="13" t="s">
        <v>628</v>
      </c>
      <c r="B35" s="13">
        <v>1</v>
      </c>
      <c r="C35" s="14" t="s">
        <v>44</v>
      </c>
      <c r="D35" s="13" t="s">
        <v>115</v>
      </c>
      <c r="E35" s="14" t="s">
        <v>116</v>
      </c>
      <c r="F35" s="14" t="s">
        <v>629</v>
      </c>
      <c r="G35" s="13" t="s">
        <v>149</v>
      </c>
      <c r="H35" s="18" t="str">
        <f>IFERROR(INDEX('المحافظات Governorates'!$E$2:$E$151,MATCH(D35,'المحافظات Governorates'!$A$2:$A$151,0)),"")</f>
        <v>Al-Kharj</v>
      </c>
      <c r="I35" s="18" t="str">
        <f>IFERROR(INDEX('المناطق Regions'!$C$2:$C$15,MATCH(B35,'المناطق Regions'!$A$2:$A$15,0)),"")</f>
        <v>Riyadh</v>
      </c>
      <c r="J35" s="18" t="str">
        <f>F35&amp;", "&amp;E35&amp;", Saudi Arabia"</f>
        <v>الفيحاء, الخرج, Saudi Arabia</v>
      </c>
      <c r="K35" s="18">
        <v>23.867866</v>
      </c>
      <c r="L35" s="18">
        <v>47.651528</v>
      </c>
      <c r="M35" s="18">
        <v>104356</v>
      </c>
      <c r="N35" s="18" t="s">
        <v>596</v>
      </c>
    </row>
    <row r="36" ht="15" customHeight="1" spans="1:14" x14ac:dyDescent="0.25">
      <c r="A36" s="11" t="s">
        <v>630</v>
      </c>
      <c r="B36" s="11">
        <v>1</v>
      </c>
      <c r="C36" s="12" t="s">
        <v>44</v>
      </c>
      <c r="D36" s="11" t="s">
        <v>115</v>
      </c>
      <c r="E36" s="12" t="s">
        <v>116</v>
      </c>
      <c r="F36" s="12" t="s">
        <v>631</v>
      </c>
      <c r="G36" s="11" t="s">
        <v>149</v>
      </c>
      <c r="H36" s="18" t="str">
        <f>IFERROR(INDEX('المحافظات Governorates'!$E$2:$E$151,MATCH(D36,'المحافظات Governorates'!$A$2:$A$151,0)),"")</f>
        <v>Al-Kharj</v>
      </c>
      <c r="I36" s="18" t="str">
        <f>IFERROR(INDEX('المناطق Regions'!$C$2:$C$15,MATCH(B36,'المناطق Regions'!$A$2:$A$15,0)),"")</f>
        <v>Riyadh</v>
      </c>
      <c r="J36" s="18" t="str">
        <f>F36&amp;", "&amp;E36&amp;", Saudi Arabia"</f>
        <v>العزيزيه, الخرج, Saudi Arabia</v>
      </c>
      <c r="K36" s="18">
        <v>23.867866</v>
      </c>
      <c r="L36" s="18">
        <v>47.651528</v>
      </c>
      <c r="M36" s="18">
        <v>104356</v>
      </c>
      <c r="N36" s="18" t="s">
        <v>596</v>
      </c>
    </row>
    <row r="37" ht="15" customHeight="1" spans="1:14" x14ac:dyDescent="0.25">
      <c r="A37" s="13" t="s">
        <v>632</v>
      </c>
      <c r="B37" s="13">
        <v>1</v>
      </c>
      <c r="C37" s="14" t="s">
        <v>44</v>
      </c>
      <c r="D37" s="13" t="s">
        <v>115</v>
      </c>
      <c r="E37" s="14" t="s">
        <v>116</v>
      </c>
      <c r="F37" s="14" t="s">
        <v>633</v>
      </c>
      <c r="G37" s="13" t="s">
        <v>149</v>
      </c>
      <c r="H37" s="18" t="str">
        <f>IFERROR(INDEX('المحافظات Governorates'!$E$2:$E$151,MATCH(D37,'المحافظات Governorates'!$A$2:$A$151,0)),"")</f>
        <v>Al-Kharj</v>
      </c>
      <c r="I37" s="18" t="str">
        <f>IFERROR(INDEX('المناطق Regions'!$C$2:$C$15,MATCH(B37,'المناطق Regions'!$A$2:$A$15,0)),"")</f>
        <v>Riyadh</v>
      </c>
      <c r="J37" s="18" t="str">
        <f>F37&amp;", "&amp;E37&amp;", Saudi Arabia"</f>
        <v>قور الحرشه, الخرج, Saudi Arabia</v>
      </c>
      <c r="K37" s="18">
        <v>23.867866</v>
      </c>
      <c r="L37" s="18">
        <v>47.651528</v>
      </c>
      <c r="M37" s="18">
        <v>104356</v>
      </c>
      <c r="N37" s="18" t="s">
        <v>596</v>
      </c>
    </row>
    <row r="38" ht="15" customHeight="1" spans="1:14" x14ac:dyDescent="0.25">
      <c r="A38" s="11" t="s">
        <v>634</v>
      </c>
      <c r="B38" s="11">
        <v>1</v>
      </c>
      <c r="C38" s="12" t="s">
        <v>44</v>
      </c>
      <c r="D38" s="11" t="s">
        <v>115</v>
      </c>
      <c r="E38" s="12" t="s">
        <v>116</v>
      </c>
      <c r="F38" s="12" t="s">
        <v>635</v>
      </c>
      <c r="G38" s="11" t="s">
        <v>149</v>
      </c>
      <c r="H38" s="18" t="str">
        <f>IFERROR(INDEX('المحافظات Governorates'!$E$2:$E$151,MATCH(D38,'المحافظات Governorates'!$A$2:$A$151,0)),"")</f>
        <v>Al-Kharj</v>
      </c>
      <c r="I38" s="18" t="str">
        <f>IFERROR(INDEX('المناطق Regions'!$C$2:$C$15,MATCH(B38,'المناطق Regions'!$A$2:$A$15,0)),"")</f>
        <v>Riyadh</v>
      </c>
      <c r="J38" s="18" t="str">
        <f>F38&amp;", "&amp;E38&amp;", Saudi Arabia"</f>
        <v>الشمال, الخرج, Saudi Arabia</v>
      </c>
      <c r="K38" s="18">
        <v>23.867866</v>
      </c>
      <c r="L38" s="18">
        <v>47.651528</v>
      </c>
      <c r="M38" s="18">
        <v>104356</v>
      </c>
      <c r="N38" s="18" t="s">
        <v>596</v>
      </c>
    </row>
    <row r="39" ht="15" customHeight="1" spans="1:14" x14ac:dyDescent="0.25">
      <c r="A39" s="13" t="s">
        <v>636</v>
      </c>
      <c r="B39" s="13">
        <v>1</v>
      </c>
      <c r="C39" s="14" t="s">
        <v>44</v>
      </c>
      <c r="D39" s="13" t="s">
        <v>115</v>
      </c>
      <c r="E39" s="14" t="s">
        <v>116</v>
      </c>
      <c r="F39" s="14" t="s">
        <v>637</v>
      </c>
      <c r="G39" s="13" t="s">
        <v>149</v>
      </c>
      <c r="H39" s="18" t="str">
        <f>IFERROR(INDEX('المحافظات Governorates'!$E$2:$E$151,MATCH(D39,'المحافظات Governorates'!$A$2:$A$151,0)),"")</f>
        <v>Al-Kharj</v>
      </c>
      <c r="I39" s="18" t="str">
        <f>IFERROR(INDEX('المناطق Regions'!$C$2:$C$15,MATCH(B39,'المناطق Regions'!$A$2:$A$15,0)),"")</f>
        <v>Riyadh</v>
      </c>
      <c r="J39" s="18" t="str">
        <f>F39&amp;", "&amp;E39&amp;", Saudi Arabia"</f>
        <v>النايفيه, الخرج, Saudi Arabia</v>
      </c>
      <c r="K39" s="18">
        <v>24.176212</v>
      </c>
      <c r="L39" s="18">
        <v>47.297201</v>
      </c>
      <c r="M39" s="18">
        <v>2000</v>
      </c>
      <c r="N39" s="18" t="s">
        <v>562</v>
      </c>
    </row>
    <row r="40" ht="15" customHeight="1" spans="1:14" x14ac:dyDescent="0.25">
      <c r="A40" s="11" t="s">
        <v>638</v>
      </c>
      <c r="B40" s="11">
        <v>1</v>
      </c>
      <c r="C40" s="12" t="s">
        <v>44</v>
      </c>
      <c r="D40" s="11" t="s">
        <v>175</v>
      </c>
      <c r="E40" s="12" t="s">
        <v>176</v>
      </c>
      <c r="F40" s="12" t="s">
        <v>639</v>
      </c>
      <c r="G40" s="11" t="s">
        <v>149</v>
      </c>
      <c r="H40" s="18" t="str">
        <f>IFERROR(INDEX('المحافظات Governorates'!$E$2:$E$151,MATCH(D40,'المحافظات Governorates'!$A$2:$A$151,0)),"")</f>
        <v>Ad-Dilam</v>
      </c>
      <c r="I40" s="18" t="str">
        <f>IFERROR(INDEX('المناطق Regions'!$C$2:$C$15,MATCH(B40,'المناطق Regions'!$A$2:$A$15,0)),"")</f>
        <v>Riyadh</v>
      </c>
      <c r="J40" s="18" t="str">
        <f>F40&amp;", "&amp;E40&amp;", Saudi Arabia"</f>
        <v>السلمانية, الدلم, Saudi Arabia</v>
      </c>
      <c r="K40" s="18">
        <v>23.962511</v>
      </c>
      <c r="L40" s="18">
        <v>47.116306</v>
      </c>
      <c r="M40" s="18">
        <v>2000</v>
      </c>
      <c r="N40" s="18" t="s">
        <v>562</v>
      </c>
    </row>
    <row r="41" ht="15" customHeight="1" spans="1:14" x14ac:dyDescent="0.25">
      <c r="A41" s="13" t="s">
        <v>640</v>
      </c>
      <c r="B41" s="13">
        <v>1</v>
      </c>
      <c r="C41" s="14" t="s">
        <v>44</v>
      </c>
      <c r="D41" s="13" t="s">
        <v>118</v>
      </c>
      <c r="E41" s="14" t="s">
        <v>119</v>
      </c>
      <c r="F41" s="14" t="s">
        <v>641</v>
      </c>
      <c r="G41" s="13" t="s">
        <v>113</v>
      </c>
      <c r="H41" s="18" t="str">
        <f>IFERROR(INDEX('المحافظات Governorates'!$E$2:$E$151,MATCH(D41,'المحافظات Governorates'!$A$2:$A$151,0)),"")</f>
        <v>Ad-Dawadmi</v>
      </c>
      <c r="I41" s="18" t="str">
        <f>IFERROR(INDEX('المناطق Regions'!$C$2:$C$15,MATCH(B41,'المناطق Regions'!$A$2:$A$15,0)),"")</f>
        <v>Riyadh</v>
      </c>
      <c r="J41" s="18" t="str">
        <f>F41&amp;", "&amp;E41&amp;", Saudi Arabia"</f>
        <v>ساجر, الدوادمى, Saudi Arabia</v>
      </c>
      <c r="K41" s="18">
        <v>25.180556</v>
      </c>
      <c r="L41" s="18">
        <v>44.600278</v>
      </c>
      <c r="M41" s="18">
        <v>2000</v>
      </c>
      <c r="N41" s="18" t="s">
        <v>642</v>
      </c>
    </row>
    <row r="42" ht="15" customHeight="1" spans="1:14" x14ac:dyDescent="0.25">
      <c r="A42" s="11" t="s">
        <v>643</v>
      </c>
      <c r="B42" s="11">
        <v>1</v>
      </c>
      <c r="C42" s="12" t="s">
        <v>44</v>
      </c>
      <c r="D42" s="11" t="s">
        <v>118</v>
      </c>
      <c r="E42" s="12" t="s">
        <v>119</v>
      </c>
      <c r="F42" s="12" t="s">
        <v>644</v>
      </c>
      <c r="G42" s="11" t="s">
        <v>113</v>
      </c>
      <c r="H42" s="18" t="str">
        <f>IFERROR(INDEX('المحافظات Governorates'!$E$2:$E$151,MATCH(D42,'المحافظات Governorates'!$A$2:$A$151,0)),"")</f>
        <v>Ad-Dawadmi</v>
      </c>
      <c r="I42" s="18" t="str">
        <f>IFERROR(INDEX('المناطق Regions'!$C$2:$C$15,MATCH(B42,'المناطق Regions'!$A$2:$A$15,0)),"")</f>
        <v>Riyadh</v>
      </c>
      <c r="J42" s="18" t="str">
        <f>F42&amp;", "&amp;E42&amp;", Saudi Arabia"</f>
        <v>نفى, الدوادمى, Saudi Arabia</v>
      </c>
      <c r="K42" s="18">
        <v>25.019795</v>
      </c>
      <c r="L42" s="18">
        <v>43.819495</v>
      </c>
      <c r="M42" s="18">
        <v>2000</v>
      </c>
      <c r="N42" s="18" t="s">
        <v>642</v>
      </c>
    </row>
    <row r="43" ht="15" customHeight="1" spans="1:14" x14ac:dyDescent="0.25">
      <c r="A43" s="13" t="s">
        <v>645</v>
      </c>
      <c r="B43" s="13">
        <v>1</v>
      </c>
      <c r="C43" s="14" t="s">
        <v>44</v>
      </c>
      <c r="D43" s="13" t="s">
        <v>118</v>
      </c>
      <c r="E43" s="14" t="s">
        <v>119</v>
      </c>
      <c r="F43" s="14" t="s">
        <v>646</v>
      </c>
      <c r="G43" s="13" t="s">
        <v>113</v>
      </c>
      <c r="H43" s="18" t="str">
        <f>IFERROR(INDEX('المحافظات Governorates'!$E$2:$E$151,MATCH(D43,'المحافظات Governorates'!$A$2:$A$151,0)),"")</f>
        <v>Ad-Dawadmi</v>
      </c>
      <c r="I43" s="18" t="str">
        <f>IFERROR(INDEX('المناطق Regions'!$C$2:$C$15,MATCH(B43,'المناطق Regions'!$A$2:$A$15,0)),"")</f>
        <v>Riyadh</v>
      </c>
      <c r="J43" s="18" t="str">
        <f>F43&amp;", "&amp;E43&amp;", Saudi Arabia"</f>
        <v>عروى, الدوادمى, Saudi Arabia</v>
      </c>
      <c r="K43" s="18">
        <v>23.908916</v>
      </c>
      <c r="L43" s="18">
        <v>44.634665</v>
      </c>
      <c r="M43" s="18">
        <v>2000</v>
      </c>
      <c r="N43" s="18" t="s">
        <v>642</v>
      </c>
    </row>
    <row r="44" ht="15" customHeight="1" spans="1:14" x14ac:dyDescent="0.25">
      <c r="A44" s="11" t="s">
        <v>647</v>
      </c>
      <c r="B44" s="11">
        <v>1</v>
      </c>
      <c r="C44" s="12" t="s">
        <v>44</v>
      </c>
      <c r="D44" s="11" t="s">
        <v>118</v>
      </c>
      <c r="E44" s="12" t="s">
        <v>119</v>
      </c>
      <c r="F44" s="12" t="s">
        <v>648</v>
      </c>
      <c r="G44" s="11" t="s">
        <v>113</v>
      </c>
      <c r="H44" s="18" t="str">
        <f>IFERROR(INDEX('المحافظات Governorates'!$E$2:$E$151,MATCH(D44,'المحافظات Governorates'!$A$2:$A$151,0)),"")</f>
        <v>Ad-Dawadmi</v>
      </c>
      <c r="I44" s="18" t="str">
        <f>IFERROR(INDEX('المناطق Regions'!$C$2:$C$15,MATCH(B44,'المناطق Regions'!$A$2:$A$15,0)),"")</f>
        <v>Riyadh</v>
      </c>
      <c r="J44" s="18" t="str">
        <f>F44&amp;", "&amp;E44&amp;", Saudi Arabia"</f>
        <v>الجمش, الدوادمى, Saudi Arabia</v>
      </c>
      <c r="K44" s="18">
        <v>24.789276</v>
      </c>
      <c r="L44" s="18">
        <v>43.771935</v>
      </c>
      <c r="M44" s="18">
        <v>2000</v>
      </c>
      <c r="N44" s="18" t="s">
        <v>642</v>
      </c>
    </row>
    <row r="45" ht="15" customHeight="1" spans="1:14" x14ac:dyDescent="0.25">
      <c r="A45" s="13" t="s">
        <v>649</v>
      </c>
      <c r="B45" s="13">
        <v>1</v>
      </c>
      <c r="C45" s="14" t="s">
        <v>44</v>
      </c>
      <c r="D45" s="13" t="s">
        <v>118</v>
      </c>
      <c r="E45" s="14" t="s">
        <v>119</v>
      </c>
      <c r="F45" s="14" t="s">
        <v>650</v>
      </c>
      <c r="G45" s="13" t="s">
        <v>113</v>
      </c>
      <c r="H45" s="18" t="str">
        <f>IFERROR(INDEX('المحافظات Governorates'!$E$2:$E$151,MATCH(D45,'المحافظات Governorates'!$A$2:$A$151,0)),"")</f>
        <v>Ad-Dawadmi</v>
      </c>
      <c r="I45" s="18" t="str">
        <f>IFERROR(INDEX('المناطق Regions'!$C$2:$C$15,MATCH(B45,'المناطق Regions'!$A$2:$A$15,0)),"")</f>
        <v>Riyadh</v>
      </c>
      <c r="J45" s="18" t="str">
        <f>F45&amp;", "&amp;E45&amp;", Saudi Arabia"</f>
        <v>القاعيه, الدوادمى, Saudi Arabia</v>
      </c>
      <c r="K45" s="18">
        <v>24.304769</v>
      </c>
      <c r="L45" s="18">
        <v>43.520613</v>
      </c>
      <c r="M45" s="18">
        <v>2000</v>
      </c>
      <c r="N45" s="18" t="s">
        <v>562</v>
      </c>
    </row>
    <row r="46" ht="15" customHeight="1" spans="1:14" x14ac:dyDescent="0.25">
      <c r="A46" s="11" t="s">
        <v>651</v>
      </c>
      <c r="B46" s="11">
        <v>1</v>
      </c>
      <c r="C46" s="12" t="s">
        <v>44</v>
      </c>
      <c r="D46" s="11" t="s">
        <v>118</v>
      </c>
      <c r="E46" s="12" t="s">
        <v>119</v>
      </c>
      <c r="F46" s="12" t="s">
        <v>652</v>
      </c>
      <c r="G46" s="11" t="s">
        <v>113</v>
      </c>
      <c r="H46" s="18" t="str">
        <f>IFERROR(INDEX('المحافظات Governorates'!$E$2:$E$151,MATCH(D46,'المحافظات Governorates'!$A$2:$A$151,0)),"")</f>
        <v>Ad-Dawadmi</v>
      </c>
      <c r="I46" s="18" t="str">
        <f>IFERROR(INDEX('المناطق Regions'!$C$2:$C$15,MATCH(B46,'المناطق Regions'!$A$2:$A$15,0)),"")</f>
        <v>Riyadh</v>
      </c>
      <c r="J46" s="18" t="str">
        <f>F46&amp;", "&amp;E46&amp;", Saudi Arabia"</f>
        <v>ماسل, الدوادمى, Saudi Arabia</v>
      </c>
      <c r="K46" s="18">
        <v>24.247209</v>
      </c>
      <c r="L46" s="18">
        <v>44.67195</v>
      </c>
      <c r="M46" s="18">
        <v>2000</v>
      </c>
      <c r="N46" s="18" t="s">
        <v>642</v>
      </c>
    </row>
    <row r="47" ht="15" customHeight="1" spans="1:14" x14ac:dyDescent="0.25">
      <c r="A47" s="13" t="s">
        <v>653</v>
      </c>
      <c r="B47" s="13">
        <v>1</v>
      </c>
      <c r="C47" s="14" t="s">
        <v>44</v>
      </c>
      <c r="D47" s="13" t="s">
        <v>118</v>
      </c>
      <c r="E47" s="14" t="s">
        <v>119</v>
      </c>
      <c r="F47" s="14" t="s">
        <v>654</v>
      </c>
      <c r="G47" s="13" t="s">
        <v>113</v>
      </c>
      <c r="H47" s="18" t="str">
        <f>IFERROR(INDEX('المحافظات Governorates'!$E$2:$E$151,MATCH(D47,'المحافظات Governorates'!$A$2:$A$151,0)),"")</f>
        <v>Ad-Dawadmi</v>
      </c>
      <c r="I47" s="18" t="str">
        <f>IFERROR(INDEX('المناطق Regions'!$C$2:$C$15,MATCH(B47,'المناطق Regions'!$A$2:$A$15,0)),"")</f>
        <v>Riyadh</v>
      </c>
      <c r="J47" s="18" t="str">
        <f>F47&amp;", "&amp;E47&amp;", Saudi Arabia"</f>
        <v>رفايع الجمش, الدوادمى, Saudi Arabia</v>
      </c>
      <c r="K47" s="18">
        <v>24.67688</v>
      </c>
      <c r="L47" s="18">
        <v>43.676379</v>
      </c>
      <c r="M47" s="18">
        <v>2000</v>
      </c>
      <c r="N47" s="18" t="s">
        <v>642</v>
      </c>
    </row>
    <row r="48" ht="15" customHeight="1" spans="1:14" x14ac:dyDescent="0.25">
      <c r="A48" s="11" t="s">
        <v>655</v>
      </c>
      <c r="B48" s="11">
        <v>1</v>
      </c>
      <c r="C48" s="12" t="s">
        <v>44</v>
      </c>
      <c r="D48" s="11" t="s">
        <v>118</v>
      </c>
      <c r="E48" s="12" t="s">
        <v>119</v>
      </c>
      <c r="F48" s="12" t="s">
        <v>656</v>
      </c>
      <c r="G48" s="11" t="s">
        <v>113</v>
      </c>
      <c r="H48" s="18" t="str">
        <f>IFERROR(INDEX('المحافظات Governorates'!$E$2:$E$151,MATCH(D48,'المحافظات Governorates'!$A$2:$A$151,0)),"")</f>
        <v>Ad-Dawadmi</v>
      </c>
      <c r="I48" s="18" t="str">
        <f>IFERROR(INDEX('المناطق Regions'!$C$2:$C$15,MATCH(B48,'المناطق Regions'!$A$2:$A$15,0)),"")</f>
        <v>Riyadh</v>
      </c>
      <c r="J48" s="18" t="str">
        <f>F48&amp;", "&amp;E48&amp;", Saudi Arabia"</f>
        <v>عرجاء, الدوادمى, Saudi Arabia</v>
      </c>
      <c r="K48" s="18">
        <v>24.722573</v>
      </c>
      <c r="L48" s="18">
        <v>44.290981</v>
      </c>
      <c r="M48" s="18">
        <v>2000</v>
      </c>
      <c r="N48" s="18" t="s">
        <v>642</v>
      </c>
    </row>
    <row r="49" ht="15" customHeight="1" spans="1:14" x14ac:dyDescent="0.25">
      <c r="A49" s="13" t="s">
        <v>657</v>
      </c>
      <c r="B49" s="13">
        <v>1</v>
      </c>
      <c r="C49" s="14" t="s">
        <v>44</v>
      </c>
      <c r="D49" s="13" t="s">
        <v>118</v>
      </c>
      <c r="E49" s="14" t="s">
        <v>119</v>
      </c>
      <c r="F49" s="14" t="s">
        <v>658</v>
      </c>
      <c r="G49" s="13" t="s">
        <v>113</v>
      </c>
      <c r="H49" s="18" t="str">
        <f>IFERROR(INDEX('المحافظات Governorates'!$E$2:$E$151,MATCH(D49,'المحافظات Governorates'!$A$2:$A$151,0)),"")</f>
        <v>Ad-Dawadmi</v>
      </c>
      <c r="I49" s="18" t="str">
        <f>IFERROR(INDEX('المناطق Regions'!$C$2:$C$15,MATCH(B49,'المناطق Regions'!$A$2:$A$15,0)),"")</f>
        <v>Riyadh</v>
      </c>
      <c r="J49" s="18" t="str">
        <f>F49&amp;", "&amp;E49&amp;", Saudi Arabia"</f>
        <v>الحفيره, الدوادمى, Saudi Arabia</v>
      </c>
      <c r="K49" s="18">
        <v>24.447243</v>
      </c>
      <c r="L49" s="18">
        <v>44.709207</v>
      </c>
      <c r="M49" s="18">
        <v>2000</v>
      </c>
      <c r="N49" s="18" t="s">
        <v>562</v>
      </c>
    </row>
    <row r="50" ht="15" customHeight="1" spans="1:14" x14ac:dyDescent="0.25">
      <c r="A50" s="11" t="s">
        <v>659</v>
      </c>
      <c r="B50" s="11">
        <v>1</v>
      </c>
      <c r="C50" s="12" t="s">
        <v>44</v>
      </c>
      <c r="D50" s="11" t="s">
        <v>118</v>
      </c>
      <c r="E50" s="12" t="s">
        <v>119</v>
      </c>
      <c r="F50" s="12" t="s">
        <v>660</v>
      </c>
      <c r="G50" s="11" t="s">
        <v>113</v>
      </c>
      <c r="H50" s="18" t="str">
        <f>IFERROR(INDEX('المحافظات Governorates'!$E$2:$E$151,MATCH(D50,'المحافظات Governorates'!$A$2:$A$151,0)),"")</f>
        <v>Ad-Dawadmi</v>
      </c>
      <c r="I50" s="18" t="str">
        <f>IFERROR(INDEX('المناطق Regions'!$C$2:$C$15,MATCH(B50,'المناطق Regions'!$A$2:$A$15,0)),"")</f>
        <v>Riyadh</v>
      </c>
      <c r="J50" s="18" t="str">
        <f>F50&amp;", "&amp;E50&amp;", Saudi Arabia"</f>
        <v>خف, الدوادمى, Saudi Arabia</v>
      </c>
      <c r="K50" s="18">
        <v>24.926339</v>
      </c>
      <c r="L50" s="18">
        <v>44.707858</v>
      </c>
      <c r="M50" s="18">
        <v>2000</v>
      </c>
      <c r="N50" s="18" t="s">
        <v>642</v>
      </c>
    </row>
    <row r="51" ht="15" customHeight="1" spans="1:14" x14ac:dyDescent="0.25">
      <c r="A51" s="13" t="s">
        <v>661</v>
      </c>
      <c r="B51" s="13">
        <v>1</v>
      </c>
      <c r="C51" s="14" t="s">
        <v>44</v>
      </c>
      <c r="D51" s="13" t="s">
        <v>118</v>
      </c>
      <c r="E51" s="14" t="s">
        <v>119</v>
      </c>
      <c r="F51" s="14" t="s">
        <v>662</v>
      </c>
      <c r="G51" s="13" t="s">
        <v>113</v>
      </c>
      <c r="H51" s="18" t="str">
        <f>IFERROR(INDEX('المحافظات Governorates'!$E$2:$E$151,MATCH(D51,'المحافظات Governorates'!$A$2:$A$151,0)),"")</f>
        <v>Ad-Dawadmi</v>
      </c>
      <c r="I51" s="18" t="str">
        <f>IFERROR(INDEX('المناطق Regions'!$C$2:$C$15,MATCH(B51,'المناطق Regions'!$A$2:$A$15,0)),"")</f>
        <v>Riyadh</v>
      </c>
      <c r="J51" s="18" t="str">
        <f>F51&amp;", "&amp;E51&amp;", Saudi Arabia"</f>
        <v>مصده, الدوادمى, Saudi Arabia</v>
      </c>
      <c r="K51" s="18">
        <v>24.535197</v>
      </c>
      <c r="L51" s="18">
        <v>44.273637</v>
      </c>
      <c r="M51" s="18">
        <v>2000</v>
      </c>
      <c r="N51" s="18" t="s">
        <v>562</v>
      </c>
    </row>
    <row r="52" ht="15" customHeight="1" spans="1:14" x14ac:dyDescent="0.25">
      <c r="A52" s="11" t="s">
        <v>663</v>
      </c>
      <c r="B52" s="11">
        <v>1</v>
      </c>
      <c r="C52" s="12" t="s">
        <v>44</v>
      </c>
      <c r="D52" s="11" t="s">
        <v>118</v>
      </c>
      <c r="E52" s="12" t="s">
        <v>119</v>
      </c>
      <c r="F52" s="12" t="s">
        <v>664</v>
      </c>
      <c r="G52" s="11" t="s">
        <v>113</v>
      </c>
      <c r="H52" s="18" t="str">
        <f>IFERROR(INDEX('المحافظات Governorates'!$E$2:$E$151,MATCH(D52,'المحافظات Governorates'!$A$2:$A$151,0)),"")</f>
        <v>Ad-Dawadmi</v>
      </c>
      <c r="I52" s="18" t="str">
        <f>IFERROR(INDEX('المناطق Regions'!$C$2:$C$15,MATCH(B52,'المناطق Regions'!$A$2:$A$15,0)),"")</f>
        <v>Riyadh</v>
      </c>
      <c r="J52" s="18" t="str">
        <f>F52&amp;", "&amp;E52&amp;", Saudi Arabia"</f>
        <v>ارطاوى حليت, الدوادمى, Saudi Arabia</v>
      </c>
      <c r="K52" s="18">
        <v>24.805451</v>
      </c>
      <c r="L52" s="18">
        <v>43.528302</v>
      </c>
      <c r="M52" s="18">
        <v>2000</v>
      </c>
      <c r="N52" s="18" t="s">
        <v>642</v>
      </c>
    </row>
    <row r="53" ht="15" customHeight="1" spans="1:14" x14ac:dyDescent="0.25">
      <c r="A53" s="13" t="s">
        <v>665</v>
      </c>
      <c r="B53" s="13">
        <v>1</v>
      </c>
      <c r="C53" s="14" t="s">
        <v>44</v>
      </c>
      <c r="D53" s="13" t="s">
        <v>118</v>
      </c>
      <c r="E53" s="14" t="s">
        <v>119</v>
      </c>
      <c r="F53" s="14" t="s">
        <v>666</v>
      </c>
      <c r="G53" s="13" t="s">
        <v>113</v>
      </c>
      <c r="H53" s="18" t="str">
        <f>IFERROR(INDEX('المحافظات Governorates'!$E$2:$E$151,MATCH(D53,'المحافظات Governorates'!$A$2:$A$151,0)),"")</f>
        <v>Ad-Dawadmi</v>
      </c>
      <c r="I53" s="18" t="str">
        <f>IFERROR(INDEX('المناطق Regions'!$C$2:$C$15,MATCH(B53,'المناطق Regions'!$A$2:$A$15,0)),"")</f>
        <v>Riyadh</v>
      </c>
      <c r="J53" s="18" t="str">
        <f>F53&amp;", "&amp;E53&amp;", Saudi Arabia"</f>
        <v>القراره, الدوادمى, Saudi Arabia</v>
      </c>
      <c r="K53" s="18">
        <v>24.886883</v>
      </c>
      <c r="L53" s="18">
        <v>43.290529</v>
      </c>
      <c r="M53" s="18">
        <v>2000</v>
      </c>
      <c r="N53" s="18" t="s">
        <v>562</v>
      </c>
    </row>
    <row r="54" ht="15" customHeight="1" spans="1:14" x14ac:dyDescent="0.25">
      <c r="A54" s="11" t="s">
        <v>667</v>
      </c>
      <c r="B54" s="11">
        <v>1</v>
      </c>
      <c r="C54" s="12" t="s">
        <v>44</v>
      </c>
      <c r="D54" s="11" t="s">
        <v>118</v>
      </c>
      <c r="E54" s="12" t="s">
        <v>119</v>
      </c>
      <c r="F54" s="12" t="s">
        <v>668</v>
      </c>
      <c r="G54" s="11" t="s">
        <v>113</v>
      </c>
      <c r="H54" s="18" t="str">
        <f>IFERROR(INDEX('المحافظات Governorates'!$E$2:$E$151,MATCH(D54,'المحافظات Governorates'!$A$2:$A$151,0)),"")</f>
        <v>Ad-Dawadmi</v>
      </c>
      <c r="I54" s="18" t="str">
        <f>IFERROR(INDEX('المناطق Regions'!$C$2:$C$15,MATCH(B54,'المناطق Regions'!$A$2:$A$15,0)),"")</f>
        <v>Riyadh</v>
      </c>
      <c r="J54" s="18" t="str">
        <f>F54&amp;", "&amp;E54&amp;", Saudi Arabia"</f>
        <v>ابو جلال, الدوادمى, Saudi Arabia</v>
      </c>
      <c r="K54" s="18">
        <v>25.143952</v>
      </c>
      <c r="L54" s="18">
        <v>43.482521</v>
      </c>
      <c r="M54" s="18">
        <v>2000</v>
      </c>
      <c r="N54" s="18" t="s">
        <v>642</v>
      </c>
    </row>
    <row r="55" ht="15" customHeight="1" spans="1:14" x14ac:dyDescent="0.25">
      <c r="A55" s="13" t="s">
        <v>669</v>
      </c>
      <c r="B55" s="13">
        <v>1</v>
      </c>
      <c r="C55" s="14" t="s">
        <v>44</v>
      </c>
      <c r="D55" s="13" t="s">
        <v>118</v>
      </c>
      <c r="E55" s="14" t="s">
        <v>119</v>
      </c>
      <c r="F55" s="14" t="s">
        <v>670</v>
      </c>
      <c r="G55" s="13" t="s">
        <v>113</v>
      </c>
      <c r="H55" s="18" t="str">
        <f>IFERROR(INDEX('المحافظات Governorates'!$E$2:$E$151,MATCH(D55,'المحافظات Governorates'!$A$2:$A$151,0)),"")</f>
        <v>Ad-Dawadmi</v>
      </c>
      <c r="I55" s="18" t="str">
        <f>IFERROR(INDEX('المناطق Regions'!$C$2:$C$15,MATCH(B55,'المناطق Regions'!$A$2:$A$15,0)),"")</f>
        <v>Riyadh</v>
      </c>
      <c r="J55" s="18" t="str">
        <f>F55&amp;", "&amp;E55&amp;", Saudi Arabia"</f>
        <v>كبشان, الدوادمى, Saudi Arabia</v>
      </c>
      <c r="K55" s="18">
        <v>24.530503</v>
      </c>
      <c r="L55" s="18">
        <v>43.318225</v>
      </c>
      <c r="M55" s="18">
        <v>2000</v>
      </c>
      <c r="N55" s="18" t="s">
        <v>642</v>
      </c>
    </row>
    <row r="56" ht="15" customHeight="1" spans="1:14" x14ac:dyDescent="0.25">
      <c r="A56" s="11" t="s">
        <v>671</v>
      </c>
      <c r="B56" s="11">
        <v>1</v>
      </c>
      <c r="C56" s="12" t="s">
        <v>44</v>
      </c>
      <c r="D56" s="11" t="s">
        <v>118</v>
      </c>
      <c r="E56" s="12" t="s">
        <v>119</v>
      </c>
      <c r="F56" s="12" t="s">
        <v>672</v>
      </c>
      <c r="G56" s="11" t="s">
        <v>113</v>
      </c>
      <c r="H56" s="18" t="str">
        <f>IFERROR(INDEX('المحافظات Governorates'!$E$2:$E$151,MATCH(D56,'المحافظات Governorates'!$A$2:$A$151,0)),"")</f>
        <v>Ad-Dawadmi</v>
      </c>
      <c r="I56" s="18" t="str">
        <f>IFERROR(INDEX('المناطق Regions'!$C$2:$C$15,MATCH(B56,'المناطق Regions'!$A$2:$A$15,0)),"")</f>
        <v>Riyadh</v>
      </c>
      <c r="J56" s="18" t="str">
        <f>F56&amp;", "&amp;E56&amp;", Saudi Arabia"</f>
        <v>عسيله, الدوادمى, Saudi Arabia</v>
      </c>
      <c r="K56" s="18">
        <v>25.106143</v>
      </c>
      <c r="L56" s="18">
        <v>44.681094</v>
      </c>
      <c r="M56" s="18">
        <v>2000</v>
      </c>
      <c r="N56" s="18" t="s">
        <v>562</v>
      </c>
    </row>
    <row r="57" ht="15" customHeight="1" spans="1:14" x14ac:dyDescent="0.25">
      <c r="A57" s="13" t="s">
        <v>673</v>
      </c>
      <c r="B57" s="13">
        <v>1</v>
      </c>
      <c r="C57" s="14" t="s">
        <v>44</v>
      </c>
      <c r="D57" s="13" t="s">
        <v>118</v>
      </c>
      <c r="E57" s="14" t="s">
        <v>119</v>
      </c>
      <c r="F57" s="14" t="s">
        <v>674</v>
      </c>
      <c r="G57" s="13" t="s">
        <v>113</v>
      </c>
      <c r="H57" s="18" t="str">
        <f>IFERROR(INDEX('المحافظات Governorates'!$E$2:$E$151,MATCH(D57,'المحافظات Governorates'!$A$2:$A$151,0)),"")</f>
        <v>Ad-Dawadmi</v>
      </c>
      <c r="I57" s="18" t="str">
        <f>IFERROR(INDEX('المناطق Regions'!$C$2:$C$15,MATCH(B57,'المناطق Regions'!$A$2:$A$15,0)),"")</f>
        <v>Riyadh</v>
      </c>
      <c r="J57" s="18" t="str">
        <f>F57&amp;", "&amp;E57&amp;", Saudi Arabia"</f>
        <v>شبيرمه, الدوادمى, Saudi Arabia</v>
      </c>
      <c r="K57" s="18">
        <v>24.662811</v>
      </c>
      <c r="L57" s="18">
        <v>43.529201</v>
      </c>
      <c r="M57" s="18">
        <v>2000</v>
      </c>
      <c r="N57" s="18" t="s">
        <v>642</v>
      </c>
    </row>
    <row r="58" ht="15" customHeight="1" spans="1:14" x14ac:dyDescent="0.25">
      <c r="A58" s="11" t="s">
        <v>675</v>
      </c>
      <c r="B58" s="11">
        <v>1</v>
      </c>
      <c r="C58" s="12" t="s">
        <v>44</v>
      </c>
      <c r="D58" s="11" t="s">
        <v>118</v>
      </c>
      <c r="E58" s="12" t="s">
        <v>119</v>
      </c>
      <c r="F58" s="12" t="s">
        <v>676</v>
      </c>
      <c r="G58" s="11" t="s">
        <v>113</v>
      </c>
      <c r="H58" s="18" t="str">
        <f>IFERROR(INDEX('المحافظات Governorates'!$E$2:$E$151,MATCH(D58,'المحافظات Governorates'!$A$2:$A$151,0)),"")</f>
        <v>Ad-Dawadmi</v>
      </c>
      <c r="I58" s="18" t="str">
        <f>IFERROR(INDEX('المناطق Regions'!$C$2:$C$15,MATCH(B58,'المناطق Regions'!$A$2:$A$15,0)),"")</f>
        <v>Riyadh</v>
      </c>
      <c r="J58" s="18" t="str">
        <f>F58&amp;", "&amp;E58&amp;", Saudi Arabia"</f>
        <v>اوضاخ, الدوادمى, Saudi Arabia</v>
      </c>
      <c r="K58" s="18">
        <v>25.246111</v>
      </c>
      <c r="L58" s="18">
        <v>43.92</v>
      </c>
      <c r="M58" s="18">
        <v>2000</v>
      </c>
      <c r="N58" s="18" t="s">
        <v>642</v>
      </c>
    </row>
    <row r="59" ht="15" customHeight="1" spans="1:14" x14ac:dyDescent="0.25">
      <c r="A59" s="13" t="s">
        <v>677</v>
      </c>
      <c r="B59" s="13">
        <v>1</v>
      </c>
      <c r="C59" s="14" t="s">
        <v>44</v>
      </c>
      <c r="D59" s="13" t="s">
        <v>118</v>
      </c>
      <c r="E59" s="14" t="s">
        <v>119</v>
      </c>
      <c r="F59" s="14" t="s">
        <v>678</v>
      </c>
      <c r="G59" s="13" t="s">
        <v>113</v>
      </c>
      <c r="H59" s="18" t="str">
        <f>IFERROR(INDEX('المحافظات Governorates'!$E$2:$E$151,MATCH(D59,'المحافظات Governorates'!$A$2:$A$151,0)),"")</f>
        <v>Ad-Dawadmi</v>
      </c>
      <c r="I59" s="18" t="str">
        <f>IFERROR(INDEX('المناطق Regions'!$C$2:$C$15,MATCH(B59,'المناطق Regions'!$A$2:$A$15,0)),"")</f>
        <v>Riyadh</v>
      </c>
      <c r="J59" s="18" t="str">
        <f>F59&amp;", "&amp;E59&amp;", Saudi Arabia"</f>
        <v>منيفه جلوي, الدوادمى, Saudi Arabia</v>
      </c>
      <c r="K59" s="18">
        <v>24.579167</v>
      </c>
      <c r="L59" s="18">
        <v>43.551111</v>
      </c>
      <c r="M59" s="18">
        <v>2000</v>
      </c>
      <c r="N59" s="18" t="s">
        <v>562</v>
      </c>
    </row>
    <row r="60" ht="15" customHeight="1" spans="1:14" x14ac:dyDescent="0.25">
      <c r="A60" s="11" t="s">
        <v>679</v>
      </c>
      <c r="B60" s="11">
        <v>1</v>
      </c>
      <c r="C60" s="12" t="s">
        <v>44</v>
      </c>
      <c r="D60" s="11" t="s">
        <v>118</v>
      </c>
      <c r="E60" s="12" t="s">
        <v>119</v>
      </c>
      <c r="F60" s="12" t="s">
        <v>680</v>
      </c>
      <c r="G60" s="11" t="s">
        <v>113</v>
      </c>
      <c r="H60" s="18" t="str">
        <f>IFERROR(INDEX('المحافظات Governorates'!$E$2:$E$151,MATCH(D60,'المحافظات Governorates'!$A$2:$A$151,0)),"")</f>
        <v>Ad-Dawadmi</v>
      </c>
      <c r="I60" s="18" t="str">
        <f>IFERROR(INDEX('المناطق Regions'!$C$2:$C$15,MATCH(B60,'المناطق Regions'!$A$2:$A$15,0)),"")</f>
        <v>Riyadh</v>
      </c>
      <c r="J60" s="18" t="str">
        <f>F60&amp;", "&amp;E60&amp;", Saudi Arabia"</f>
        <v>الارطاوي الجديد, الدوادمى, Saudi Arabia</v>
      </c>
      <c r="K60" s="18">
        <v>24.646924</v>
      </c>
      <c r="L60" s="18">
        <v>44.158096</v>
      </c>
      <c r="M60" s="18">
        <v>150956</v>
      </c>
      <c r="N60" s="18" t="s">
        <v>681</v>
      </c>
    </row>
    <row r="61" ht="15" customHeight="1" spans="1:14" x14ac:dyDescent="0.25">
      <c r="A61" s="13" t="s">
        <v>682</v>
      </c>
      <c r="B61" s="13">
        <v>1</v>
      </c>
      <c r="C61" s="14" t="s">
        <v>44</v>
      </c>
      <c r="D61" s="13" t="s">
        <v>118</v>
      </c>
      <c r="E61" s="14" t="s">
        <v>119</v>
      </c>
      <c r="F61" s="14" t="s">
        <v>683</v>
      </c>
      <c r="G61" s="13" t="s">
        <v>113</v>
      </c>
      <c r="H61" s="18" t="str">
        <f>IFERROR(INDEX('المحافظات Governorates'!$E$2:$E$151,MATCH(D61,'المحافظات Governorates'!$A$2:$A$151,0)),"")</f>
        <v>Ad-Dawadmi</v>
      </c>
      <c r="I61" s="18" t="str">
        <f>IFERROR(INDEX('المناطق Regions'!$C$2:$C$15,MATCH(B61,'المناطق Regions'!$A$2:$A$15,0)),"")</f>
        <v>Riyadh</v>
      </c>
      <c r="J61" s="18" t="str">
        <f>F61&amp;", "&amp;E61&amp;", Saudi Arabia"</f>
        <v>جهام, الدوادمى, Saudi Arabia</v>
      </c>
      <c r="K61" s="18">
        <v>24.540884</v>
      </c>
      <c r="L61" s="18">
        <v>43.585797</v>
      </c>
      <c r="M61" s="18">
        <v>2000</v>
      </c>
      <c r="N61" s="18" t="s">
        <v>642</v>
      </c>
    </row>
    <row r="62" ht="15" customHeight="1" spans="1:14" x14ac:dyDescent="0.25">
      <c r="A62" s="11" t="s">
        <v>684</v>
      </c>
      <c r="B62" s="11">
        <v>1</v>
      </c>
      <c r="C62" s="12" t="s">
        <v>44</v>
      </c>
      <c r="D62" s="11" t="s">
        <v>118</v>
      </c>
      <c r="E62" s="12" t="s">
        <v>119</v>
      </c>
      <c r="F62" s="12" t="s">
        <v>685</v>
      </c>
      <c r="G62" s="11" t="s">
        <v>113</v>
      </c>
      <c r="H62" s="18" t="str">
        <f>IFERROR(INDEX('المحافظات Governorates'!$E$2:$E$151,MATCH(D62,'المحافظات Governorates'!$A$2:$A$151,0)),"")</f>
        <v>Ad-Dawadmi</v>
      </c>
      <c r="I62" s="18" t="str">
        <f>IFERROR(INDEX('المناطق Regions'!$C$2:$C$15,MATCH(B62,'المناطق Regions'!$A$2:$A$15,0)),"")</f>
        <v>Riyadh</v>
      </c>
      <c r="J62" s="18" t="str">
        <f>F62&amp;", "&amp;E62&amp;", Saudi Arabia"</f>
        <v>ام سليم بالسر, الدوادمى, Saudi Arabia</v>
      </c>
      <c r="K62" s="18">
        <v>24.646924</v>
      </c>
      <c r="L62" s="18">
        <v>44.158096</v>
      </c>
      <c r="M62" s="18">
        <v>150956</v>
      </c>
      <c r="N62" s="18" t="s">
        <v>681</v>
      </c>
    </row>
    <row r="63" ht="15" customHeight="1" spans="1:14" x14ac:dyDescent="0.25">
      <c r="A63" s="13" t="s">
        <v>686</v>
      </c>
      <c r="B63" s="13">
        <v>1</v>
      </c>
      <c r="C63" s="14" t="s">
        <v>44</v>
      </c>
      <c r="D63" s="13" t="s">
        <v>118</v>
      </c>
      <c r="E63" s="14" t="s">
        <v>119</v>
      </c>
      <c r="F63" s="14" t="s">
        <v>687</v>
      </c>
      <c r="G63" s="13" t="s">
        <v>113</v>
      </c>
      <c r="H63" s="18" t="str">
        <f>IFERROR(INDEX('المحافظات Governorates'!$E$2:$E$151,MATCH(D63,'المحافظات Governorates'!$A$2:$A$151,0)),"")</f>
        <v>Ad-Dawadmi</v>
      </c>
      <c r="I63" s="18" t="str">
        <f>IFERROR(INDEX('المناطق Regions'!$C$2:$C$15,MATCH(B63,'المناطق Regions'!$A$2:$A$15,0)),"")</f>
        <v>Riyadh</v>
      </c>
      <c r="J63" s="18" t="str">
        <f>F63&amp;", "&amp;E63&amp;", Saudi Arabia"</f>
        <v>الدمثى, الدوادمى, Saudi Arabia</v>
      </c>
      <c r="K63" s="18">
        <v>25.383027</v>
      </c>
      <c r="L63" s="18">
        <v>44.461907</v>
      </c>
      <c r="M63" s="18">
        <v>2000</v>
      </c>
      <c r="N63" s="18" t="s">
        <v>642</v>
      </c>
    </row>
    <row r="64" ht="15" customHeight="1" spans="1:14" x14ac:dyDescent="0.25">
      <c r="A64" s="11" t="s">
        <v>688</v>
      </c>
      <c r="B64" s="11">
        <v>1</v>
      </c>
      <c r="C64" s="12" t="s">
        <v>44</v>
      </c>
      <c r="D64" s="11" t="s">
        <v>118</v>
      </c>
      <c r="E64" s="12" t="s">
        <v>119</v>
      </c>
      <c r="F64" s="12" t="s">
        <v>689</v>
      </c>
      <c r="G64" s="11" t="s">
        <v>113</v>
      </c>
      <c r="H64" s="18" t="str">
        <f>IFERROR(INDEX('المحافظات Governorates'!$E$2:$E$151,MATCH(D64,'المحافظات Governorates'!$A$2:$A$151,0)),"")</f>
        <v>Ad-Dawadmi</v>
      </c>
      <c r="I64" s="18" t="str">
        <f>IFERROR(INDEX('المناطق Regions'!$C$2:$C$15,MATCH(B64,'المناطق Regions'!$A$2:$A$15,0)),"")</f>
        <v>Riyadh</v>
      </c>
      <c r="J64" s="18" t="str">
        <f>F64&amp;", "&amp;E64&amp;", Saudi Arabia"</f>
        <v>البجاديه, الدوادمى, Saudi Arabia</v>
      </c>
      <c r="K64" s="18">
        <v>24.29632</v>
      </c>
      <c r="L64" s="18">
        <v>43.741367</v>
      </c>
      <c r="M64" s="18">
        <v>2000</v>
      </c>
      <c r="N64" s="18" t="s">
        <v>562</v>
      </c>
    </row>
    <row r="65" ht="15" customHeight="1" spans="1:14" x14ac:dyDescent="0.25">
      <c r="A65" s="13" t="s">
        <v>690</v>
      </c>
      <c r="B65" s="13">
        <v>1</v>
      </c>
      <c r="C65" s="14" t="s">
        <v>44</v>
      </c>
      <c r="D65" s="13" t="s">
        <v>118</v>
      </c>
      <c r="E65" s="14" t="s">
        <v>119</v>
      </c>
      <c r="F65" s="14" t="s">
        <v>691</v>
      </c>
      <c r="G65" s="13" t="s">
        <v>113</v>
      </c>
      <c r="H65" s="18" t="str">
        <f>IFERROR(INDEX('المحافظات Governorates'!$E$2:$E$151,MATCH(D65,'المحافظات Governorates'!$A$2:$A$151,0)),"")</f>
        <v>Ad-Dawadmi</v>
      </c>
      <c r="I65" s="18" t="str">
        <f>IFERROR(INDEX('المناطق Regions'!$C$2:$C$15,MATCH(B65,'المناطق Regions'!$A$2:$A$15,0)),"")</f>
        <v>Riyadh</v>
      </c>
      <c r="J65" s="18" t="str">
        <f>F65&amp;", "&amp;E65&amp;", Saudi Arabia"</f>
        <v>الشعراء, الدوادمى, Saudi Arabia</v>
      </c>
      <c r="K65" s="18">
        <v>24.275342</v>
      </c>
      <c r="L65" s="18">
        <v>44.186521</v>
      </c>
      <c r="M65" s="18">
        <v>2000</v>
      </c>
      <c r="N65" s="18" t="s">
        <v>642</v>
      </c>
    </row>
    <row r="66" ht="15" customHeight="1" spans="1:14" x14ac:dyDescent="0.25">
      <c r="A66" s="11" t="s">
        <v>692</v>
      </c>
      <c r="B66" s="11">
        <v>1</v>
      </c>
      <c r="C66" s="12" t="s">
        <v>44</v>
      </c>
      <c r="D66" s="11" t="s">
        <v>118</v>
      </c>
      <c r="E66" s="12" t="s">
        <v>119</v>
      </c>
      <c r="F66" s="12" t="s">
        <v>693</v>
      </c>
      <c r="G66" s="11" t="s">
        <v>113</v>
      </c>
      <c r="H66" s="18" t="str">
        <f>IFERROR(INDEX('المحافظات Governorates'!$E$2:$E$151,MATCH(D66,'المحافظات Governorates'!$A$2:$A$151,0)),"")</f>
        <v>Ad-Dawadmi</v>
      </c>
      <c r="I66" s="18" t="str">
        <f>IFERROR(INDEX('المناطق Regions'!$C$2:$C$15,MATCH(B66,'المناطق Regions'!$A$2:$A$15,0)),"")</f>
        <v>Riyadh</v>
      </c>
      <c r="J66" s="18" t="str">
        <f>F66&amp;", "&amp;E66&amp;", Saudi Arabia"</f>
        <v>السر, الدوادمى, Saudi Arabia</v>
      </c>
      <c r="K66" s="18">
        <v>25.024465</v>
      </c>
      <c r="L66" s="18">
        <v>44.861607</v>
      </c>
      <c r="M66" s="18">
        <v>2000</v>
      </c>
      <c r="N66" s="18" t="s">
        <v>642</v>
      </c>
    </row>
    <row r="67" ht="15" customHeight="1" spans="1:14" x14ac:dyDescent="0.25">
      <c r="A67" s="13" t="s">
        <v>694</v>
      </c>
      <c r="B67" s="13">
        <v>1</v>
      </c>
      <c r="C67" s="14" t="s">
        <v>44</v>
      </c>
      <c r="D67" s="13" t="s">
        <v>118</v>
      </c>
      <c r="E67" s="14" t="s">
        <v>119</v>
      </c>
      <c r="F67" s="14" t="s">
        <v>695</v>
      </c>
      <c r="G67" s="13" t="s">
        <v>113</v>
      </c>
      <c r="H67" s="18" t="str">
        <f>IFERROR(INDEX('المحافظات Governorates'!$E$2:$E$151,MATCH(D67,'المحافظات Governorates'!$A$2:$A$151,0)),"")</f>
        <v>Ad-Dawadmi</v>
      </c>
      <c r="I67" s="18" t="str">
        <f>IFERROR(INDEX('المناطق Regions'!$C$2:$C$15,MATCH(B67,'المناطق Regions'!$A$2:$A$15,0)),"")</f>
        <v>Riyadh</v>
      </c>
      <c r="J67" s="18" t="str">
        <f>F67&amp;", "&amp;E67&amp;", Saudi Arabia"</f>
        <v>الارطاوي, الدوادمى, Saudi Arabia</v>
      </c>
      <c r="K67" s="18">
        <v>25.378218</v>
      </c>
      <c r="L67" s="18">
        <v>44.495612</v>
      </c>
      <c r="M67" s="18">
        <v>2000</v>
      </c>
      <c r="N67" s="18" t="s">
        <v>642</v>
      </c>
    </row>
    <row r="68" ht="15" customHeight="1" spans="1:14" x14ac:dyDescent="0.25">
      <c r="A68" s="11" t="s">
        <v>696</v>
      </c>
      <c r="B68" s="11">
        <v>1</v>
      </c>
      <c r="C68" s="12" t="s">
        <v>44</v>
      </c>
      <c r="D68" s="11" t="s">
        <v>118</v>
      </c>
      <c r="E68" s="12" t="s">
        <v>119</v>
      </c>
      <c r="F68" s="12" t="s">
        <v>697</v>
      </c>
      <c r="G68" s="11" t="s">
        <v>149</v>
      </c>
      <c r="H68" s="18" t="str">
        <f>IFERROR(INDEX('المحافظات Governorates'!$E$2:$E$151,MATCH(D68,'المحافظات Governorates'!$A$2:$A$151,0)),"")</f>
        <v>Ad-Dawadmi</v>
      </c>
      <c r="I68" s="18" t="str">
        <f>IFERROR(INDEX('المناطق Regions'!$C$2:$C$15,MATCH(B68,'المناطق Regions'!$A$2:$A$15,0)),"")</f>
        <v>Riyadh</v>
      </c>
      <c r="J68" s="18" t="str">
        <f>F68&amp;", "&amp;E68&amp;", Saudi Arabia"</f>
        <v>حاضرة نفي, الدوادمى, Saudi Arabia</v>
      </c>
      <c r="K68" s="18">
        <v>24.646924</v>
      </c>
      <c r="L68" s="18">
        <v>44.158096</v>
      </c>
      <c r="M68" s="18">
        <v>150956</v>
      </c>
      <c r="N68" s="18" t="s">
        <v>681</v>
      </c>
    </row>
    <row r="69" ht="15" customHeight="1" spans="1:14" x14ac:dyDescent="0.25">
      <c r="A69" s="13" t="s">
        <v>698</v>
      </c>
      <c r="B69" s="13">
        <v>1</v>
      </c>
      <c r="C69" s="14" t="s">
        <v>44</v>
      </c>
      <c r="D69" s="13" t="s">
        <v>118</v>
      </c>
      <c r="E69" s="14" t="s">
        <v>119</v>
      </c>
      <c r="F69" s="14" t="s">
        <v>699</v>
      </c>
      <c r="G69" s="13" t="s">
        <v>149</v>
      </c>
      <c r="H69" s="18" t="str">
        <f>IFERROR(INDEX('المحافظات Governorates'!$E$2:$E$151,MATCH(D69,'المحافظات Governorates'!$A$2:$A$151,0)),"")</f>
        <v>Ad-Dawadmi</v>
      </c>
      <c r="I69" s="18" t="str">
        <f>IFERROR(INDEX('المناطق Regions'!$C$2:$C$15,MATCH(B69,'المناطق Regions'!$A$2:$A$15,0)),"")</f>
        <v>Riyadh</v>
      </c>
      <c r="J69" s="18" t="str">
        <f>F69&amp;", "&amp;E69&amp;", Saudi Arabia"</f>
        <v>السكران, الدوادمى, Saudi Arabia</v>
      </c>
      <c r="K69" s="18">
        <v>25.270546</v>
      </c>
      <c r="L69" s="18">
        <v>44.577261</v>
      </c>
      <c r="M69" s="18">
        <v>2000</v>
      </c>
      <c r="N69" s="18" t="s">
        <v>642</v>
      </c>
    </row>
    <row r="70" ht="15" customHeight="1" spans="1:14" x14ac:dyDescent="0.25">
      <c r="A70" s="11" t="s">
        <v>700</v>
      </c>
      <c r="B70" s="11">
        <v>1</v>
      </c>
      <c r="C70" s="12" t="s">
        <v>44</v>
      </c>
      <c r="D70" s="11" t="s">
        <v>118</v>
      </c>
      <c r="E70" s="12" t="s">
        <v>119</v>
      </c>
      <c r="F70" s="12" t="s">
        <v>701</v>
      </c>
      <c r="G70" s="11" t="s">
        <v>113</v>
      </c>
      <c r="H70" s="18" t="str">
        <f>IFERROR(INDEX('المحافظات Governorates'!$E$2:$E$151,MATCH(D70,'المحافظات Governorates'!$A$2:$A$151,0)),"")</f>
        <v>Ad-Dawadmi</v>
      </c>
      <c r="I70" s="18" t="str">
        <f>IFERROR(INDEX('المناطق Regions'!$C$2:$C$15,MATCH(B70,'المناطق Regions'!$A$2:$A$15,0)),"")</f>
        <v>Riyadh</v>
      </c>
      <c r="J70" s="18" t="str">
        <f>F70&amp;", "&amp;E70&amp;", Saudi Arabia"</f>
        <v>القرين, الدوادمى, Saudi Arabia</v>
      </c>
      <c r="K70" s="18">
        <v>24.735429</v>
      </c>
      <c r="L70" s="18">
        <v>43.788075</v>
      </c>
      <c r="M70" s="18">
        <v>2000</v>
      </c>
      <c r="N70" s="18" t="s">
        <v>642</v>
      </c>
    </row>
    <row r="71" ht="15" customHeight="1" spans="1:14" x14ac:dyDescent="0.25">
      <c r="A71" s="13" t="s">
        <v>702</v>
      </c>
      <c r="B71" s="13">
        <v>1</v>
      </c>
      <c r="C71" s="14" t="s">
        <v>44</v>
      </c>
      <c r="D71" s="13" t="s">
        <v>118</v>
      </c>
      <c r="E71" s="14" t="s">
        <v>119</v>
      </c>
      <c r="F71" s="14" t="s">
        <v>703</v>
      </c>
      <c r="G71" s="13" t="s">
        <v>113</v>
      </c>
      <c r="H71" s="18" t="str">
        <f>IFERROR(INDEX('المحافظات Governorates'!$E$2:$E$151,MATCH(D71,'المحافظات Governorates'!$A$2:$A$151,0)),"")</f>
        <v>Ad-Dawadmi</v>
      </c>
      <c r="I71" s="18" t="str">
        <f>IFERROR(INDEX('المناطق Regions'!$C$2:$C$15,MATCH(B71,'المناطق Regions'!$A$2:$A$15,0)),"")</f>
        <v>Riyadh</v>
      </c>
      <c r="J71" s="18" t="str">
        <f>F71&amp;", "&amp;E71&amp;", Saudi Arabia"</f>
        <v>البرود, الدوادمى, Saudi Arabia</v>
      </c>
      <c r="K71" s="18">
        <v>25.081293</v>
      </c>
      <c r="L71" s="18">
        <v>44.614681</v>
      </c>
      <c r="M71" s="18">
        <v>2000</v>
      </c>
      <c r="N71" s="18" t="s">
        <v>642</v>
      </c>
    </row>
    <row r="72" ht="15" customHeight="1" spans="1:14" x14ac:dyDescent="0.25">
      <c r="A72" s="11" t="s">
        <v>704</v>
      </c>
      <c r="B72" s="11">
        <v>1</v>
      </c>
      <c r="C72" s="12" t="s">
        <v>44</v>
      </c>
      <c r="D72" s="11" t="s">
        <v>118</v>
      </c>
      <c r="E72" s="12" t="s">
        <v>119</v>
      </c>
      <c r="F72" s="12" t="s">
        <v>705</v>
      </c>
      <c r="G72" s="11" t="s">
        <v>113</v>
      </c>
      <c r="H72" s="18" t="str">
        <f>IFERROR(INDEX('المحافظات Governorates'!$E$2:$E$151,MATCH(D72,'المحافظات Governorates'!$A$2:$A$151,0)),"")</f>
        <v>Ad-Dawadmi</v>
      </c>
      <c r="I72" s="18" t="str">
        <f>IFERROR(INDEX('المناطق Regions'!$C$2:$C$15,MATCH(B72,'المناطق Regions'!$A$2:$A$15,0)),"")</f>
        <v>Riyadh</v>
      </c>
      <c r="J72" s="18" t="str">
        <f>F72&amp;", "&amp;E72&amp;", Saudi Arabia"</f>
        <v>الاثله, الدوادمى, Saudi Arabia</v>
      </c>
      <c r="K72" s="18">
        <v>25.295918</v>
      </c>
      <c r="L72" s="18">
        <v>43.885346</v>
      </c>
      <c r="M72" s="18">
        <v>2000</v>
      </c>
      <c r="N72" s="18" t="s">
        <v>562</v>
      </c>
    </row>
    <row r="73" ht="15" customHeight="1" spans="1:14" x14ac:dyDescent="0.25">
      <c r="A73" s="13" t="s">
        <v>706</v>
      </c>
      <c r="B73" s="13">
        <v>1</v>
      </c>
      <c r="C73" s="14" t="s">
        <v>44</v>
      </c>
      <c r="D73" s="13" t="s">
        <v>118</v>
      </c>
      <c r="E73" s="14" t="s">
        <v>119</v>
      </c>
      <c r="F73" s="14" t="s">
        <v>707</v>
      </c>
      <c r="G73" s="13" t="s">
        <v>149</v>
      </c>
      <c r="H73" s="18" t="str">
        <f>IFERROR(INDEX('المحافظات Governorates'!$E$2:$E$151,MATCH(D73,'المحافظات Governorates'!$A$2:$A$151,0)),"")</f>
        <v>Ad-Dawadmi</v>
      </c>
      <c r="I73" s="18" t="str">
        <f>IFERROR(INDEX('المناطق Regions'!$C$2:$C$15,MATCH(B73,'المناطق Regions'!$A$2:$A$15,0)),"")</f>
        <v>Riyadh</v>
      </c>
      <c r="J73" s="18" t="str">
        <f>F73&amp;", "&amp;E73&amp;", Saudi Arabia"</f>
        <v>افقرة, الدوادمى, Saudi Arabia</v>
      </c>
      <c r="K73" s="18">
        <v>24.646924</v>
      </c>
      <c r="L73" s="18">
        <v>44.158096</v>
      </c>
      <c r="M73" s="18">
        <v>150956</v>
      </c>
      <c r="N73" s="18" t="s">
        <v>681</v>
      </c>
    </row>
    <row r="74" ht="15" customHeight="1" spans="1:14" x14ac:dyDescent="0.25">
      <c r="A74" s="11" t="s">
        <v>708</v>
      </c>
      <c r="B74" s="11">
        <v>1</v>
      </c>
      <c r="C74" s="12" t="s">
        <v>44</v>
      </c>
      <c r="D74" s="11" t="s">
        <v>118</v>
      </c>
      <c r="E74" s="12" t="s">
        <v>119</v>
      </c>
      <c r="F74" s="12" t="s">
        <v>709</v>
      </c>
      <c r="G74" s="11" t="s">
        <v>149</v>
      </c>
      <c r="H74" s="18" t="str">
        <f>IFERROR(INDEX('المحافظات Governorates'!$E$2:$E$151,MATCH(D74,'المحافظات Governorates'!$A$2:$A$151,0)),"")</f>
        <v>Ad-Dawadmi</v>
      </c>
      <c r="I74" s="18" t="str">
        <f>IFERROR(INDEX('المناطق Regions'!$C$2:$C$15,MATCH(B74,'المناطق Regions'!$A$2:$A$15,0)),"")</f>
        <v>Riyadh</v>
      </c>
      <c r="J74" s="18" t="str">
        <f>F74&amp;", "&amp;E74&amp;", Saudi Arabia"</f>
        <v>الرشاويه, الدوادمى, Saudi Arabia</v>
      </c>
      <c r="K74" s="18">
        <v>24.6438</v>
      </c>
      <c r="L74" s="18">
        <v>43.967501</v>
      </c>
      <c r="M74" s="18">
        <v>2000</v>
      </c>
      <c r="N74" s="18" t="s">
        <v>642</v>
      </c>
    </row>
    <row r="75" ht="15" customHeight="1" spans="1:14" x14ac:dyDescent="0.25">
      <c r="A75" s="13" t="s">
        <v>710</v>
      </c>
      <c r="B75" s="13">
        <v>1</v>
      </c>
      <c r="C75" s="14" t="s">
        <v>44</v>
      </c>
      <c r="D75" s="13" t="s">
        <v>118</v>
      </c>
      <c r="E75" s="14" t="s">
        <v>119</v>
      </c>
      <c r="F75" s="14" t="s">
        <v>711</v>
      </c>
      <c r="G75" s="13" t="s">
        <v>149</v>
      </c>
      <c r="H75" s="18" t="str">
        <f>IFERROR(INDEX('المحافظات Governorates'!$E$2:$E$151,MATCH(D75,'المحافظات Governorates'!$A$2:$A$151,0)),"")</f>
        <v>Ad-Dawadmi</v>
      </c>
      <c r="I75" s="18" t="str">
        <f>IFERROR(INDEX('المناطق Regions'!$C$2:$C$15,MATCH(B75,'المناطق Regions'!$A$2:$A$15,0)),"")</f>
        <v>Riyadh</v>
      </c>
      <c r="J75" s="18" t="str">
        <f>F75&amp;", "&amp;E75&amp;", Saudi Arabia"</f>
        <v>عين القنور, الدوادمى, Saudi Arabia</v>
      </c>
      <c r="K75" s="18">
        <v>25.403603</v>
      </c>
      <c r="L75" s="18">
        <v>44.495233</v>
      </c>
      <c r="M75" s="18">
        <v>2000</v>
      </c>
      <c r="N75" s="18" t="s">
        <v>642</v>
      </c>
    </row>
    <row r="76" ht="15" customHeight="1" spans="1:14" x14ac:dyDescent="0.25">
      <c r="A76" s="11" t="s">
        <v>712</v>
      </c>
      <c r="B76" s="11">
        <v>1</v>
      </c>
      <c r="C76" s="12" t="s">
        <v>44</v>
      </c>
      <c r="D76" s="11" t="s">
        <v>118</v>
      </c>
      <c r="E76" s="12" t="s">
        <v>119</v>
      </c>
      <c r="F76" s="12" t="s">
        <v>713</v>
      </c>
      <c r="G76" s="11" t="s">
        <v>113</v>
      </c>
      <c r="H76" s="18" t="str">
        <f>IFERROR(INDEX('المحافظات Governorates'!$E$2:$E$151,MATCH(D76,'المحافظات Governorates'!$A$2:$A$151,0)),"")</f>
        <v>Ad-Dawadmi</v>
      </c>
      <c r="I76" s="18" t="str">
        <f>IFERROR(INDEX('المناطق Regions'!$C$2:$C$15,MATCH(B76,'المناطق Regions'!$A$2:$A$15,0)),"")</f>
        <v>Riyadh</v>
      </c>
      <c r="J76" s="18" t="str">
        <f>F76&amp;", "&amp;E76&amp;", Saudi Arabia"</f>
        <v>مغيراء, الدوادمى, Saudi Arabia</v>
      </c>
      <c r="K76" s="18">
        <v>24.369457</v>
      </c>
      <c r="L76" s="18">
        <v>45.01337</v>
      </c>
      <c r="M76" s="18">
        <v>2000</v>
      </c>
      <c r="N76" s="18" t="s">
        <v>642</v>
      </c>
    </row>
    <row r="77" ht="15" customHeight="1" spans="1:14" x14ac:dyDescent="0.25">
      <c r="A77" s="13" t="s">
        <v>714</v>
      </c>
      <c r="B77" s="13">
        <v>1</v>
      </c>
      <c r="C77" s="14" t="s">
        <v>44</v>
      </c>
      <c r="D77" s="13" t="s">
        <v>118</v>
      </c>
      <c r="E77" s="14" t="s">
        <v>119</v>
      </c>
      <c r="F77" s="14" t="s">
        <v>715</v>
      </c>
      <c r="G77" s="13" t="s">
        <v>113</v>
      </c>
      <c r="H77" s="18" t="str">
        <f>IFERROR(INDEX('المحافظات Governorates'!$E$2:$E$151,MATCH(D77,'المحافظات Governorates'!$A$2:$A$151,0)),"")</f>
        <v>Ad-Dawadmi</v>
      </c>
      <c r="I77" s="18" t="str">
        <f>IFERROR(INDEX('المناطق Regions'!$C$2:$C$15,MATCH(B77,'المناطق Regions'!$A$2:$A$15,0)),"")</f>
        <v>Riyadh</v>
      </c>
      <c r="J77" s="18" t="str">
        <f>F77&amp;", "&amp;E77&amp;", Saudi Arabia"</f>
        <v>العقلة, الدوادمى, Saudi Arabia</v>
      </c>
      <c r="K77" s="18">
        <v>25.077274</v>
      </c>
      <c r="L77" s="18">
        <v>44.112349</v>
      </c>
      <c r="M77" s="18">
        <v>2000</v>
      </c>
      <c r="N77" s="18" t="s">
        <v>642</v>
      </c>
    </row>
    <row r="78" ht="15" customHeight="1" spans="1:14" x14ac:dyDescent="0.25">
      <c r="A78" s="11" t="s">
        <v>716</v>
      </c>
      <c r="B78" s="11">
        <v>1</v>
      </c>
      <c r="C78" s="12" t="s">
        <v>44</v>
      </c>
      <c r="D78" s="11" t="s">
        <v>118</v>
      </c>
      <c r="E78" s="12" t="s">
        <v>119</v>
      </c>
      <c r="F78" s="12" t="s">
        <v>717</v>
      </c>
      <c r="G78" s="11" t="s">
        <v>149</v>
      </c>
      <c r="H78" s="18" t="str">
        <f>IFERROR(INDEX('المحافظات Governorates'!$E$2:$E$151,MATCH(D78,'المحافظات Governorates'!$A$2:$A$151,0)),"")</f>
        <v>Ad-Dawadmi</v>
      </c>
      <c r="I78" s="18" t="str">
        <f>IFERROR(INDEX('المناطق Regions'!$C$2:$C$15,MATCH(B78,'المناطق Regions'!$A$2:$A$15,0)),"")</f>
        <v>Riyadh</v>
      </c>
      <c r="J78" s="18" t="str">
        <f>F78&amp;", "&amp;E78&amp;", Saudi Arabia"</f>
        <v>العبل, الدوادمى, Saudi Arabia</v>
      </c>
      <c r="K78" s="18">
        <v>24.835857</v>
      </c>
      <c r="L78" s="18">
        <v>43.646925</v>
      </c>
      <c r="M78" s="18">
        <v>2000</v>
      </c>
      <c r="N78" s="18" t="s">
        <v>642</v>
      </c>
    </row>
    <row r="79" ht="15" customHeight="1" spans="1:14" x14ac:dyDescent="0.25">
      <c r="A79" s="13" t="s">
        <v>718</v>
      </c>
      <c r="B79" s="13">
        <v>1</v>
      </c>
      <c r="C79" s="14" t="s">
        <v>44</v>
      </c>
      <c r="D79" s="13" t="s">
        <v>118</v>
      </c>
      <c r="E79" s="14" t="s">
        <v>119</v>
      </c>
      <c r="F79" s="14" t="s">
        <v>719</v>
      </c>
      <c r="G79" s="13" t="s">
        <v>113</v>
      </c>
      <c r="H79" s="18" t="str">
        <f>IFERROR(INDEX('المحافظات Governorates'!$E$2:$E$151,MATCH(D79,'المحافظات Governorates'!$A$2:$A$151,0)),"")</f>
        <v>Ad-Dawadmi</v>
      </c>
      <c r="I79" s="18" t="str">
        <f>IFERROR(INDEX('المناطق Regions'!$C$2:$C$15,MATCH(B79,'المناطق Regions'!$A$2:$A$15,0)),"")</f>
        <v>Riyadh</v>
      </c>
      <c r="J79" s="18" t="str">
        <f>F79&amp;", "&amp;E79&amp;", Saudi Arabia"</f>
        <v>الحيد, الدوادمى, Saudi Arabia</v>
      </c>
      <c r="K79" s="18">
        <v>24.867216</v>
      </c>
      <c r="L79" s="18">
        <v>43.716613</v>
      </c>
      <c r="M79" s="18">
        <v>2000</v>
      </c>
      <c r="N79" s="18" t="s">
        <v>642</v>
      </c>
    </row>
    <row r="80" ht="15" customHeight="1" spans="1:14" x14ac:dyDescent="0.25">
      <c r="A80" s="11" t="s">
        <v>720</v>
      </c>
      <c r="B80" s="11">
        <v>1</v>
      </c>
      <c r="C80" s="12" t="s">
        <v>44</v>
      </c>
      <c r="D80" s="11" t="s">
        <v>118</v>
      </c>
      <c r="E80" s="12" t="s">
        <v>119</v>
      </c>
      <c r="F80" s="12" t="s">
        <v>721</v>
      </c>
      <c r="G80" s="11" t="s">
        <v>113</v>
      </c>
      <c r="H80" s="18" t="str">
        <f>IFERROR(INDEX('المحافظات Governorates'!$E$2:$E$151,MATCH(D80,'المحافظات Governorates'!$A$2:$A$151,0)),"")</f>
        <v>Ad-Dawadmi</v>
      </c>
      <c r="I80" s="18" t="str">
        <f>IFERROR(INDEX('المناطق Regions'!$C$2:$C$15,MATCH(B80,'المناطق Regions'!$A$2:$A$15,0)),"")</f>
        <v>Riyadh</v>
      </c>
      <c r="J80" s="18" t="str">
        <f>F80&amp;", "&amp;E80&amp;", Saudi Arabia"</f>
        <v>عريفجان, الدوادمى, Saudi Arabia</v>
      </c>
      <c r="K80" s="18">
        <v>25.173039</v>
      </c>
      <c r="L80" s="18">
        <v>43.47684</v>
      </c>
      <c r="M80" s="18">
        <v>2000</v>
      </c>
      <c r="N80" s="18" t="s">
        <v>642</v>
      </c>
    </row>
    <row r="81" ht="15" customHeight="1" spans="1:14" x14ac:dyDescent="0.25">
      <c r="A81" s="13" t="s">
        <v>722</v>
      </c>
      <c r="B81" s="13">
        <v>1</v>
      </c>
      <c r="C81" s="14" t="s">
        <v>44</v>
      </c>
      <c r="D81" s="13" t="s">
        <v>118</v>
      </c>
      <c r="E81" s="14" t="s">
        <v>119</v>
      </c>
      <c r="F81" s="14" t="s">
        <v>723</v>
      </c>
      <c r="G81" s="13" t="s">
        <v>149</v>
      </c>
      <c r="H81" s="18" t="str">
        <f>IFERROR(INDEX('المحافظات Governorates'!$E$2:$E$151,MATCH(D81,'المحافظات Governorates'!$A$2:$A$151,0)),"")</f>
        <v>Ad-Dawadmi</v>
      </c>
      <c r="I81" s="18" t="str">
        <f>IFERROR(INDEX('المناطق Regions'!$C$2:$C$15,MATCH(B81,'المناطق Regions'!$A$2:$A$15,0)),"")</f>
        <v>Riyadh</v>
      </c>
      <c r="J81" s="18" t="str">
        <f>F81&amp;", "&amp;E81&amp;", Saudi Arabia"</f>
        <v>ارطاوى الحماميد, الدوادمى, Saudi Arabia</v>
      </c>
      <c r="K81" s="18">
        <v>24.837538</v>
      </c>
      <c r="L81" s="18">
        <v>43.518908</v>
      </c>
      <c r="M81" s="18">
        <v>2000</v>
      </c>
      <c r="N81" s="18" t="s">
        <v>642</v>
      </c>
    </row>
    <row r="82" ht="15" customHeight="1" spans="1:14" x14ac:dyDescent="0.25">
      <c r="A82" s="11" t="s">
        <v>724</v>
      </c>
      <c r="B82" s="11">
        <v>1</v>
      </c>
      <c r="C82" s="12" t="s">
        <v>44</v>
      </c>
      <c r="D82" s="11" t="s">
        <v>118</v>
      </c>
      <c r="E82" s="12" t="s">
        <v>119</v>
      </c>
      <c r="F82" s="12" t="s">
        <v>725</v>
      </c>
      <c r="G82" s="11" t="s">
        <v>113</v>
      </c>
      <c r="H82" s="18" t="str">
        <f>IFERROR(INDEX('المحافظات Governorates'!$E$2:$E$151,MATCH(D82,'المحافظات Governorates'!$A$2:$A$151,0)),"")</f>
        <v>Ad-Dawadmi</v>
      </c>
      <c r="I82" s="18" t="str">
        <f>IFERROR(INDEX('المناطق Regions'!$C$2:$C$15,MATCH(B82,'المناطق Regions'!$A$2:$A$15,0)),"")</f>
        <v>Riyadh</v>
      </c>
      <c r="J82" s="18" t="str">
        <f>F82&amp;", "&amp;E82&amp;", Saudi Arabia"</f>
        <v>بدائع بن نجم, الدوادمى, Saudi Arabia</v>
      </c>
      <c r="K82" s="18">
        <v>24.898406</v>
      </c>
      <c r="L82" s="18">
        <v>43.521931</v>
      </c>
      <c r="M82" s="18">
        <v>2000</v>
      </c>
      <c r="N82" s="18" t="s">
        <v>642</v>
      </c>
    </row>
    <row r="83" ht="15" customHeight="1" spans="1:14" x14ac:dyDescent="0.25">
      <c r="A83" s="13" t="s">
        <v>726</v>
      </c>
      <c r="B83" s="13">
        <v>1</v>
      </c>
      <c r="C83" s="14" t="s">
        <v>44</v>
      </c>
      <c r="D83" s="13" t="s">
        <v>118</v>
      </c>
      <c r="E83" s="14" t="s">
        <v>119</v>
      </c>
      <c r="F83" s="14" t="s">
        <v>727</v>
      </c>
      <c r="G83" s="13" t="s">
        <v>149</v>
      </c>
      <c r="H83" s="18" t="str">
        <f>IFERROR(INDEX('المحافظات Governorates'!$E$2:$E$151,MATCH(D83,'المحافظات Governorates'!$A$2:$A$151,0)),"")</f>
        <v>Ad-Dawadmi</v>
      </c>
      <c r="I83" s="18" t="str">
        <f>IFERROR(INDEX('المناطق Regions'!$C$2:$C$15,MATCH(B83,'المناطق Regions'!$A$2:$A$15,0)),"")</f>
        <v>Riyadh</v>
      </c>
      <c r="J83" s="18" t="str">
        <f>F83&amp;", "&amp;E83&amp;", Saudi Arabia"</f>
        <v>الفقاره, الدوادمى, Saudi Arabia</v>
      </c>
      <c r="K83" s="18">
        <v>24.646924</v>
      </c>
      <c r="L83" s="18">
        <v>44.158096</v>
      </c>
      <c r="M83" s="18">
        <v>150956</v>
      </c>
      <c r="N83" s="18" t="s">
        <v>681</v>
      </c>
    </row>
    <row r="84" ht="15" customHeight="1" spans="1:14" x14ac:dyDescent="0.25">
      <c r="A84" s="11" t="s">
        <v>728</v>
      </c>
      <c r="B84" s="11">
        <v>1</v>
      </c>
      <c r="C84" s="12" t="s">
        <v>44</v>
      </c>
      <c r="D84" s="11" t="s">
        <v>118</v>
      </c>
      <c r="E84" s="12" t="s">
        <v>119</v>
      </c>
      <c r="F84" s="12" t="s">
        <v>729</v>
      </c>
      <c r="G84" s="11" t="s">
        <v>113</v>
      </c>
      <c r="H84" s="18" t="str">
        <f>IFERROR(INDEX('المحافظات Governorates'!$E$2:$E$151,MATCH(D84,'المحافظات Governorates'!$A$2:$A$151,0)),"")</f>
        <v>Ad-Dawadmi</v>
      </c>
      <c r="I84" s="18" t="str">
        <f>IFERROR(INDEX('المناطق Regions'!$C$2:$C$15,MATCH(B84,'المناطق Regions'!$A$2:$A$15,0)),"")</f>
        <v>Riyadh</v>
      </c>
      <c r="J84" s="18" t="str">
        <f>F84&amp;", "&amp;E84&amp;", Saudi Arabia"</f>
        <v>الحفنه, الدوادمى, Saudi Arabia</v>
      </c>
      <c r="K84" s="18">
        <v>24.078578</v>
      </c>
      <c r="L84" s="18">
        <v>43.476648</v>
      </c>
      <c r="M84" s="18">
        <v>2000</v>
      </c>
      <c r="N84" s="18" t="s">
        <v>562</v>
      </c>
    </row>
    <row r="85" ht="15" customHeight="1" spans="1:14" x14ac:dyDescent="0.25">
      <c r="A85" s="13" t="s">
        <v>730</v>
      </c>
      <c r="B85" s="13">
        <v>1</v>
      </c>
      <c r="C85" s="14" t="s">
        <v>44</v>
      </c>
      <c r="D85" s="13" t="s">
        <v>118</v>
      </c>
      <c r="E85" s="14" t="s">
        <v>119</v>
      </c>
      <c r="F85" s="14" t="s">
        <v>731</v>
      </c>
      <c r="G85" s="13" t="s">
        <v>149</v>
      </c>
      <c r="H85" s="18" t="str">
        <f>IFERROR(INDEX('المحافظات Governorates'!$E$2:$E$151,MATCH(D85,'المحافظات Governorates'!$A$2:$A$151,0)),"")</f>
        <v>Ad-Dawadmi</v>
      </c>
      <c r="I85" s="18" t="str">
        <f>IFERROR(INDEX('المناطق Regions'!$C$2:$C$15,MATCH(B85,'المناطق Regions'!$A$2:$A$15,0)),"")</f>
        <v>Riyadh</v>
      </c>
      <c r="J85" s="18" t="str">
        <f>F85&amp;", "&amp;E85&amp;", Saudi Arabia"</f>
        <v>علياء, الدوادمى, Saudi Arabia</v>
      </c>
      <c r="K85" s="18">
        <v>24.770013</v>
      </c>
      <c r="L85" s="18">
        <v>43.688151</v>
      </c>
      <c r="M85" s="18">
        <v>2000</v>
      </c>
      <c r="N85" s="18" t="s">
        <v>562</v>
      </c>
    </row>
    <row r="86" ht="15" customHeight="1" spans="1:14" x14ac:dyDescent="0.25">
      <c r="A86" s="11" t="s">
        <v>732</v>
      </c>
      <c r="B86" s="11">
        <v>1</v>
      </c>
      <c r="C86" s="12" t="s">
        <v>44</v>
      </c>
      <c r="D86" s="11" t="s">
        <v>118</v>
      </c>
      <c r="E86" s="12" t="s">
        <v>119</v>
      </c>
      <c r="F86" s="12" t="s">
        <v>733</v>
      </c>
      <c r="G86" s="11" t="s">
        <v>149</v>
      </c>
      <c r="H86" s="18" t="str">
        <f>IFERROR(INDEX('المحافظات Governorates'!$E$2:$E$151,MATCH(D86,'المحافظات Governorates'!$A$2:$A$151,0)),"")</f>
        <v>Ad-Dawadmi</v>
      </c>
      <c r="I86" s="18" t="str">
        <f>IFERROR(INDEX('المناطق Regions'!$C$2:$C$15,MATCH(B86,'المناطق Regions'!$A$2:$A$15,0)),"")</f>
        <v>Riyadh</v>
      </c>
      <c r="J86" s="18" t="str">
        <f>F86&amp;", "&amp;E86&amp;", Saudi Arabia"</f>
        <v>الشفلحيه, الدوادمى, Saudi Arabia</v>
      </c>
      <c r="K86" s="18">
        <v>25.489662</v>
      </c>
      <c r="L86" s="18">
        <v>44.468032</v>
      </c>
      <c r="M86" s="18">
        <v>2000</v>
      </c>
      <c r="N86" s="18" t="s">
        <v>642</v>
      </c>
    </row>
    <row r="87" ht="15" customHeight="1" spans="1:14" x14ac:dyDescent="0.25">
      <c r="A87" s="13" t="s">
        <v>734</v>
      </c>
      <c r="B87" s="13">
        <v>1</v>
      </c>
      <c r="C87" s="14" t="s">
        <v>44</v>
      </c>
      <c r="D87" s="13" t="s">
        <v>118</v>
      </c>
      <c r="E87" s="14" t="s">
        <v>119</v>
      </c>
      <c r="F87" s="14" t="s">
        <v>735</v>
      </c>
      <c r="G87" s="13" t="s">
        <v>149</v>
      </c>
      <c r="H87" s="18" t="str">
        <f>IFERROR(INDEX('المحافظات Governorates'!$E$2:$E$151,MATCH(D87,'المحافظات Governorates'!$A$2:$A$151,0)),"")</f>
        <v>Ad-Dawadmi</v>
      </c>
      <c r="I87" s="18" t="str">
        <f>IFERROR(INDEX('المناطق Regions'!$C$2:$C$15,MATCH(B87,'المناطق Regions'!$A$2:$A$15,0)),"")</f>
        <v>Riyadh</v>
      </c>
      <c r="J87" s="18" t="str">
        <f>F87&amp;", "&amp;E87&amp;", Saudi Arabia"</f>
        <v>مشرفة نفي, الدوادمى, Saudi Arabia</v>
      </c>
      <c r="K87" s="18">
        <v>24.646924</v>
      </c>
      <c r="L87" s="18">
        <v>44.158096</v>
      </c>
      <c r="M87" s="18">
        <v>150956</v>
      </c>
      <c r="N87" s="18" t="s">
        <v>681</v>
      </c>
    </row>
    <row r="88" ht="15" customHeight="1" spans="1:14" x14ac:dyDescent="0.25">
      <c r="A88" s="11" t="s">
        <v>736</v>
      </c>
      <c r="B88" s="11">
        <v>1</v>
      </c>
      <c r="C88" s="12" t="s">
        <v>44</v>
      </c>
      <c r="D88" s="11" t="s">
        <v>118</v>
      </c>
      <c r="E88" s="12" t="s">
        <v>119</v>
      </c>
      <c r="F88" s="12" t="s">
        <v>737</v>
      </c>
      <c r="G88" s="11" t="s">
        <v>113</v>
      </c>
      <c r="H88" s="18" t="str">
        <f>IFERROR(INDEX('المحافظات Governorates'!$E$2:$E$151,MATCH(D88,'المحافظات Governorates'!$A$2:$A$151,0)),"")</f>
        <v>Ad-Dawadmi</v>
      </c>
      <c r="I88" s="18" t="str">
        <f>IFERROR(INDEX('المناطق Regions'!$C$2:$C$15,MATCH(B88,'المناطق Regions'!$A$2:$A$15,0)),"")</f>
        <v>Riyadh</v>
      </c>
      <c r="J88" s="18" t="str">
        <f>F88&amp;", "&amp;E88&amp;", Saudi Arabia"</f>
        <v>منيه, الدوادمى, Saudi Arabia</v>
      </c>
      <c r="K88" s="18">
        <v>24.992032</v>
      </c>
      <c r="L88" s="18">
        <v>43.409438</v>
      </c>
      <c r="M88" s="18">
        <v>2000</v>
      </c>
      <c r="N88" s="18" t="s">
        <v>562</v>
      </c>
    </row>
    <row r="89" ht="15" customHeight="1" spans="1:14" x14ac:dyDescent="0.25">
      <c r="A89" s="13" t="s">
        <v>738</v>
      </c>
      <c r="B89" s="13">
        <v>1</v>
      </c>
      <c r="C89" s="14" t="s">
        <v>44</v>
      </c>
      <c r="D89" s="13" t="s">
        <v>118</v>
      </c>
      <c r="E89" s="14" t="s">
        <v>119</v>
      </c>
      <c r="F89" s="14" t="s">
        <v>739</v>
      </c>
      <c r="G89" s="13" t="s">
        <v>149</v>
      </c>
      <c r="H89" s="18" t="str">
        <f>IFERROR(INDEX('المحافظات Governorates'!$E$2:$E$151,MATCH(D89,'المحافظات Governorates'!$A$2:$A$151,0)),"")</f>
        <v>Ad-Dawadmi</v>
      </c>
      <c r="I89" s="18" t="str">
        <f>IFERROR(INDEX('المناطق Regions'!$C$2:$C$15,MATCH(B89,'المناطق Regions'!$A$2:$A$15,0)),"")</f>
        <v>Riyadh</v>
      </c>
      <c r="J89" s="18" t="str">
        <f>F89&amp;", "&amp;E89&amp;", Saudi Arabia"</f>
        <v>العاذريه, الدوادمى, Saudi Arabia</v>
      </c>
      <c r="K89" s="18">
        <v>24.646924</v>
      </c>
      <c r="L89" s="18">
        <v>44.158096</v>
      </c>
      <c r="M89" s="18">
        <v>150956</v>
      </c>
      <c r="N89" s="18" t="s">
        <v>681</v>
      </c>
    </row>
    <row r="90" ht="15" customHeight="1" spans="1:14" x14ac:dyDescent="0.25">
      <c r="A90" s="11" t="s">
        <v>740</v>
      </c>
      <c r="B90" s="11">
        <v>1</v>
      </c>
      <c r="C90" s="12" t="s">
        <v>44</v>
      </c>
      <c r="D90" s="11" t="s">
        <v>118</v>
      </c>
      <c r="E90" s="12" t="s">
        <v>119</v>
      </c>
      <c r="F90" s="12" t="s">
        <v>741</v>
      </c>
      <c r="G90" s="11" t="s">
        <v>149</v>
      </c>
      <c r="H90" s="18" t="str">
        <f>IFERROR(INDEX('المحافظات Governorates'!$E$2:$E$151,MATCH(D90,'المحافظات Governorates'!$A$2:$A$151,0)),"")</f>
        <v>Ad-Dawadmi</v>
      </c>
      <c r="I90" s="18" t="str">
        <f>IFERROR(INDEX('المناطق Regions'!$C$2:$C$15,MATCH(B90,'المناطق Regions'!$A$2:$A$15,0)),"")</f>
        <v>Riyadh</v>
      </c>
      <c r="J90" s="18" t="str">
        <f>F90&amp;", "&amp;E90&amp;", Saudi Arabia"</f>
        <v>الخالديه, الدوادمى, Saudi Arabia</v>
      </c>
      <c r="K90" s="18">
        <v>25.389487</v>
      </c>
      <c r="L90" s="18">
        <v>44.149552</v>
      </c>
      <c r="M90" s="18">
        <v>2000</v>
      </c>
      <c r="N90" s="18" t="s">
        <v>562</v>
      </c>
    </row>
    <row r="91" ht="15" customHeight="1" spans="1:14" x14ac:dyDescent="0.25">
      <c r="A91" s="13" t="s">
        <v>742</v>
      </c>
      <c r="B91" s="13">
        <v>1</v>
      </c>
      <c r="C91" s="14" t="s">
        <v>44</v>
      </c>
      <c r="D91" s="13" t="s">
        <v>118</v>
      </c>
      <c r="E91" s="14" t="s">
        <v>119</v>
      </c>
      <c r="F91" s="14" t="s">
        <v>743</v>
      </c>
      <c r="G91" s="13" t="s">
        <v>113</v>
      </c>
      <c r="H91" s="18" t="str">
        <f>IFERROR(INDEX('المحافظات Governorates'!$E$2:$E$151,MATCH(D91,'المحافظات Governorates'!$A$2:$A$151,0)),"")</f>
        <v>Ad-Dawadmi</v>
      </c>
      <c r="I91" s="18" t="str">
        <f>IFERROR(INDEX('المناطق Regions'!$C$2:$C$15,MATCH(B91,'المناطق Regions'!$A$2:$A$15,0)),"")</f>
        <v>Riyadh</v>
      </c>
      <c r="J91" s="18" t="str">
        <f>F91&amp;", "&amp;E91&amp;", Saudi Arabia"</f>
        <v>خريمان, الدوادمى, Saudi Arabia</v>
      </c>
      <c r="K91" s="18">
        <v>25.448889</v>
      </c>
      <c r="L91" s="18">
        <v>44.155749</v>
      </c>
      <c r="M91" s="18">
        <v>2000</v>
      </c>
      <c r="N91" s="18" t="s">
        <v>642</v>
      </c>
    </row>
    <row r="92" ht="15" customHeight="1" spans="1:14" x14ac:dyDescent="0.25">
      <c r="A92" s="11" t="s">
        <v>744</v>
      </c>
      <c r="B92" s="11">
        <v>1</v>
      </c>
      <c r="C92" s="12" t="s">
        <v>44</v>
      </c>
      <c r="D92" s="11" t="s">
        <v>118</v>
      </c>
      <c r="E92" s="12" t="s">
        <v>119</v>
      </c>
      <c r="F92" s="12" t="s">
        <v>745</v>
      </c>
      <c r="G92" s="11" t="s">
        <v>149</v>
      </c>
      <c r="H92" s="18" t="str">
        <f>IFERROR(INDEX('المحافظات Governorates'!$E$2:$E$151,MATCH(D92,'المحافظات Governorates'!$A$2:$A$151,0)),"")</f>
        <v>Ad-Dawadmi</v>
      </c>
      <c r="I92" s="18" t="str">
        <f>IFERROR(INDEX('المناطق Regions'!$C$2:$C$15,MATCH(B92,'المناطق Regions'!$A$2:$A$15,0)),"")</f>
        <v>Riyadh</v>
      </c>
      <c r="J92" s="18" t="str">
        <f>F92&amp;", "&amp;E92&amp;", Saudi Arabia"</f>
        <v>عشيران, الدوادمى, Saudi Arabia</v>
      </c>
      <c r="K92" s="18">
        <v>25.51108</v>
      </c>
      <c r="L92" s="18">
        <v>44.373674</v>
      </c>
      <c r="M92" s="18">
        <v>2000</v>
      </c>
      <c r="N92" s="18" t="s">
        <v>642</v>
      </c>
    </row>
    <row r="93" ht="15" customHeight="1" spans="1:14" x14ac:dyDescent="0.25">
      <c r="A93" s="13" t="s">
        <v>746</v>
      </c>
      <c r="B93" s="13">
        <v>1</v>
      </c>
      <c r="C93" s="14" t="s">
        <v>44</v>
      </c>
      <c r="D93" s="13" t="s">
        <v>118</v>
      </c>
      <c r="E93" s="14" t="s">
        <v>119</v>
      </c>
      <c r="F93" s="14" t="s">
        <v>747</v>
      </c>
      <c r="G93" s="13" t="s">
        <v>149</v>
      </c>
      <c r="H93" s="18" t="str">
        <f>IFERROR(INDEX('المحافظات Governorates'!$E$2:$E$151,MATCH(D93,'المحافظات Governorates'!$A$2:$A$151,0)),"")</f>
        <v>Ad-Dawadmi</v>
      </c>
      <c r="I93" s="18" t="str">
        <f>IFERROR(INDEX('المناطق Regions'!$C$2:$C$15,MATCH(B93,'المناطق Regions'!$A$2:$A$15,0)),"")</f>
        <v>Riyadh</v>
      </c>
      <c r="J93" s="18" t="str">
        <f>F93&amp;", "&amp;E93&amp;", Saudi Arabia"</f>
        <v>المستجده, الدوادمى, Saudi Arabia</v>
      </c>
      <c r="K93" s="18">
        <v>24.51105</v>
      </c>
      <c r="L93" s="18">
        <v>43.789073</v>
      </c>
      <c r="M93" s="18">
        <v>2000</v>
      </c>
      <c r="N93" s="18" t="s">
        <v>562</v>
      </c>
    </row>
    <row r="94" ht="15" customHeight="1" spans="1:14" x14ac:dyDescent="0.25">
      <c r="A94" s="11" t="s">
        <v>748</v>
      </c>
      <c r="B94" s="11">
        <v>1</v>
      </c>
      <c r="C94" s="12" t="s">
        <v>44</v>
      </c>
      <c r="D94" s="11" t="s">
        <v>118</v>
      </c>
      <c r="E94" s="12" t="s">
        <v>119</v>
      </c>
      <c r="F94" s="12" t="s">
        <v>749</v>
      </c>
      <c r="G94" s="11" t="s">
        <v>113</v>
      </c>
      <c r="H94" s="18" t="str">
        <f>IFERROR(INDEX('المحافظات Governorates'!$E$2:$E$151,MATCH(D94,'المحافظات Governorates'!$A$2:$A$151,0)),"")</f>
        <v>Ad-Dawadmi</v>
      </c>
      <c r="I94" s="18" t="str">
        <f>IFERROR(INDEX('المناطق Regions'!$C$2:$C$15,MATCH(B94,'المناطق Regions'!$A$2:$A$15,0)),"")</f>
        <v>Riyadh</v>
      </c>
      <c r="J94" s="18" t="str">
        <f>F94&amp;", "&amp;E94&amp;", Saudi Arabia"</f>
        <v>المطاوي, الدوادمى, Saudi Arabia</v>
      </c>
      <c r="K94" s="18">
        <v>25.362784</v>
      </c>
      <c r="L94" s="18">
        <v>44.533988</v>
      </c>
      <c r="M94" s="18">
        <v>2000</v>
      </c>
      <c r="N94" s="18" t="s">
        <v>642</v>
      </c>
    </row>
    <row r="95" ht="15" customHeight="1" spans="1:14" x14ac:dyDescent="0.25">
      <c r="A95" s="13" t="s">
        <v>750</v>
      </c>
      <c r="B95" s="13">
        <v>1</v>
      </c>
      <c r="C95" s="14" t="s">
        <v>44</v>
      </c>
      <c r="D95" s="13" t="s">
        <v>118</v>
      </c>
      <c r="E95" s="14" t="s">
        <v>119</v>
      </c>
      <c r="F95" s="14" t="s">
        <v>751</v>
      </c>
      <c r="G95" s="13" t="s">
        <v>113</v>
      </c>
      <c r="H95" s="18" t="str">
        <f>IFERROR(INDEX('المحافظات Governorates'!$E$2:$E$151,MATCH(D95,'المحافظات Governorates'!$A$2:$A$151,0)),"")</f>
        <v>Ad-Dawadmi</v>
      </c>
      <c r="I95" s="18" t="str">
        <f>IFERROR(INDEX('المناطق Regions'!$C$2:$C$15,MATCH(B95,'المناطق Regions'!$A$2:$A$15,0)),"")</f>
        <v>Riyadh</v>
      </c>
      <c r="J95" s="18" t="str">
        <f>F95&amp;", "&amp;E95&amp;", Saudi Arabia"</f>
        <v>النبوان, الدوادمى, Saudi Arabia</v>
      </c>
      <c r="K95" s="18">
        <v>24.522122</v>
      </c>
      <c r="L95" s="18">
        <v>43.951336</v>
      </c>
      <c r="M95" s="18">
        <v>2000</v>
      </c>
      <c r="N95" s="18" t="s">
        <v>642</v>
      </c>
    </row>
    <row r="96" ht="15" customHeight="1" spans="1:14" x14ac:dyDescent="0.25">
      <c r="A96" s="11" t="s">
        <v>752</v>
      </c>
      <c r="B96" s="11">
        <v>1</v>
      </c>
      <c r="C96" s="12" t="s">
        <v>44</v>
      </c>
      <c r="D96" s="11" t="s">
        <v>118</v>
      </c>
      <c r="E96" s="12" t="s">
        <v>119</v>
      </c>
      <c r="F96" s="12" t="s">
        <v>753</v>
      </c>
      <c r="G96" s="11" t="s">
        <v>113</v>
      </c>
      <c r="H96" s="18" t="str">
        <f>IFERROR(INDEX('المحافظات Governorates'!$E$2:$E$151,MATCH(D96,'المحافظات Governorates'!$A$2:$A$151,0)),"")</f>
        <v>Ad-Dawadmi</v>
      </c>
      <c r="I96" s="18" t="str">
        <f>IFERROR(INDEX('المناطق Regions'!$C$2:$C$15,MATCH(B96,'المناطق Regions'!$A$2:$A$15,0)),"")</f>
        <v>Riyadh</v>
      </c>
      <c r="J96" s="18" t="str">
        <f>F96&amp;", "&amp;E96&amp;", Saudi Arabia"</f>
        <v>فيضه المفص, الدوادمى, Saudi Arabia</v>
      </c>
      <c r="K96" s="18">
        <v>24.343889</v>
      </c>
      <c r="L96" s="18">
        <v>44.808056</v>
      </c>
      <c r="M96" s="18">
        <v>2000</v>
      </c>
      <c r="N96" s="18" t="s">
        <v>562</v>
      </c>
    </row>
    <row r="97" ht="15" customHeight="1" spans="1:14" x14ac:dyDescent="0.25">
      <c r="A97" s="13" t="s">
        <v>754</v>
      </c>
      <c r="B97" s="13">
        <v>1</v>
      </c>
      <c r="C97" s="14" t="s">
        <v>44</v>
      </c>
      <c r="D97" s="13" t="s">
        <v>118</v>
      </c>
      <c r="E97" s="14" t="s">
        <v>119</v>
      </c>
      <c r="F97" s="14" t="s">
        <v>755</v>
      </c>
      <c r="G97" s="13" t="s">
        <v>149</v>
      </c>
      <c r="H97" s="18" t="str">
        <f>IFERROR(INDEX('المحافظات Governorates'!$E$2:$E$151,MATCH(D97,'المحافظات Governorates'!$A$2:$A$151,0)),"")</f>
        <v>Ad-Dawadmi</v>
      </c>
      <c r="I97" s="18" t="str">
        <f>IFERROR(INDEX('المناطق Regions'!$C$2:$C$15,MATCH(B97,'المناطق Regions'!$A$2:$A$15,0)),"")</f>
        <v>Riyadh</v>
      </c>
      <c r="J97" s="18" t="str">
        <f>F97&amp;", "&amp;E97&amp;", Saudi Arabia"</f>
        <v>الودي, الدوادمى, Saudi Arabia</v>
      </c>
      <c r="K97" s="18">
        <v>24.575368</v>
      </c>
      <c r="L97" s="18">
        <v>43.933797</v>
      </c>
      <c r="M97" s="18">
        <v>2000</v>
      </c>
      <c r="N97" s="18" t="s">
        <v>642</v>
      </c>
    </row>
    <row r="98" ht="15" customHeight="1" spans="1:14" x14ac:dyDescent="0.25">
      <c r="A98" s="11" t="s">
        <v>756</v>
      </c>
      <c r="B98" s="11">
        <v>1</v>
      </c>
      <c r="C98" s="12" t="s">
        <v>44</v>
      </c>
      <c r="D98" s="11" t="s">
        <v>118</v>
      </c>
      <c r="E98" s="12" t="s">
        <v>119</v>
      </c>
      <c r="F98" s="12" t="s">
        <v>757</v>
      </c>
      <c r="G98" s="11" t="s">
        <v>149</v>
      </c>
      <c r="H98" s="18" t="str">
        <f>IFERROR(INDEX('المحافظات Governorates'!$E$2:$E$151,MATCH(D98,'المحافظات Governorates'!$A$2:$A$151,0)),"")</f>
        <v>Ad-Dawadmi</v>
      </c>
      <c r="I98" s="18" t="str">
        <f>IFERROR(INDEX('المناطق Regions'!$C$2:$C$15,MATCH(B98,'المناطق Regions'!$A$2:$A$15,0)),"")</f>
        <v>Riyadh</v>
      </c>
      <c r="J98" s="18" t="str">
        <f>F98&amp;", "&amp;E98&amp;", Saudi Arabia"</f>
        <v>عريده, الدوادمى, Saudi Arabia</v>
      </c>
      <c r="K98" s="18">
        <v>24.356391</v>
      </c>
      <c r="L98" s="18">
        <v>44.50184</v>
      </c>
      <c r="M98" s="18">
        <v>2000</v>
      </c>
      <c r="N98" s="18" t="s">
        <v>562</v>
      </c>
    </row>
    <row r="99" ht="15" customHeight="1" spans="1:14" x14ac:dyDescent="0.25">
      <c r="A99" s="13" t="s">
        <v>758</v>
      </c>
      <c r="B99" s="13">
        <v>1</v>
      </c>
      <c r="C99" s="14" t="s">
        <v>44</v>
      </c>
      <c r="D99" s="13" t="s">
        <v>118</v>
      </c>
      <c r="E99" s="14" t="s">
        <v>119</v>
      </c>
      <c r="F99" s="14" t="s">
        <v>759</v>
      </c>
      <c r="G99" s="13" t="s">
        <v>149</v>
      </c>
      <c r="H99" s="18" t="str">
        <f>IFERROR(INDEX('المحافظات Governorates'!$E$2:$E$151,MATCH(D99,'المحافظات Governorates'!$A$2:$A$151,0)),"")</f>
        <v>Ad-Dawadmi</v>
      </c>
      <c r="I99" s="18" t="str">
        <f>IFERROR(INDEX('المناطق Regions'!$C$2:$C$15,MATCH(B99,'المناطق Regions'!$A$2:$A$15,0)),"")</f>
        <v>Riyadh</v>
      </c>
      <c r="J99" s="18" t="str">
        <f>F99&amp;", "&amp;E99&amp;", Saudi Arabia"</f>
        <v>عواضه, الدوادمى, Saudi Arabia</v>
      </c>
      <c r="K99" s="18">
        <v>24.574561</v>
      </c>
      <c r="L99" s="18">
        <v>43.623284</v>
      </c>
      <c r="M99" s="18">
        <v>2000</v>
      </c>
      <c r="N99" s="18" t="s">
        <v>562</v>
      </c>
    </row>
    <row r="100" ht="15" customHeight="1" spans="1:14" x14ac:dyDescent="0.25">
      <c r="A100" s="11" t="s">
        <v>760</v>
      </c>
      <c r="B100" s="11">
        <v>1</v>
      </c>
      <c r="C100" s="12" t="s">
        <v>44</v>
      </c>
      <c r="D100" s="11" t="s">
        <v>118</v>
      </c>
      <c r="E100" s="12" t="s">
        <v>119</v>
      </c>
      <c r="F100" s="12" t="s">
        <v>761</v>
      </c>
      <c r="G100" s="11" t="s">
        <v>149</v>
      </c>
      <c r="H100" s="18" t="str">
        <f>IFERROR(INDEX('المحافظات Governorates'!$E$2:$E$151,MATCH(D100,'المحافظات Governorates'!$A$2:$A$151,0)),"")</f>
        <v>Ad-Dawadmi</v>
      </c>
      <c r="I100" s="18" t="str">
        <f>IFERROR(INDEX('المناطق Regions'!$C$2:$C$15,MATCH(B100,'المناطق Regions'!$A$2:$A$15,0)),"")</f>
        <v>Riyadh</v>
      </c>
      <c r="J100" s="18" t="str">
        <f>F100&amp;", "&amp;E100&amp;", Saudi Arabia"</f>
        <v>عصام, الدوادمى, Saudi Arabia</v>
      </c>
      <c r="K100" s="18">
        <v>24.723418</v>
      </c>
      <c r="L100" s="18">
        <v>43.624922</v>
      </c>
      <c r="M100" s="18">
        <v>2000</v>
      </c>
      <c r="N100" s="18" t="s">
        <v>642</v>
      </c>
    </row>
    <row r="101" ht="15" customHeight="1" spans="1:14" x14ac:dyDescent="0.25">
      <c r="A101" s="13" t="s">
        <v>762</v>
      </c>
      <c r="B101" s="13">
        <v>1</v>
      </c>
      <c r="C101" s="14" t="s">
        <v>44</v>
      </c>
      <c r="D101" s="13" t="s">
        <v>118</v>
      </c>
      <c r="E101" s="14" t="s">
        <v>119</v>
      </c>
      <c r="F101" s="14" t="s">
        <v>763</v>
      </c>
      <c r="G101" s="13" t="s">
        <v>113</v>
      </c>
      <c r="H101" s="18" t="str">
        <f>IFERROR(INDEX('المحافظات Governorates'!$E$2:$E$151,MATCH(D101,'المحافظات Governorates'!$A$2:$A$151,0)),"")</f>
        <v>Ad-Dawadmi</v>
      </c>
      <c r="I101" s="18" t="str">
        <f>IFERROR(INDEX('المناطق Regions'!$C$2:$C$15,MATCH(B101,'المناطق Regions'!$A$2:$A$15,0)),"")</f>
        <v>Riyadh</v>
      </c>
      <c r="J101" s="18" t="str">
        <f>F101&amp;", "&amp;E101&amp;", Saudi Arabia"</f>
        <v>عنز, الدوادمى, Saudi Arabia</v>
      </c>
      <c r="K101" s="18">
        <v>25.342552</v>
      </c>
      <c r="L101" s="18">
        <v>44.22032</v>
      </c>
      <c r="M101" s="18">
        <v>2000</v>
      </c>
      <c r="N101" s="18" t="s">
        <v>642</v>
      </c>
    </row>
    <row r="102" ht="15" customHeight="1" spans="1:14" x14ac:dyDescent="0.25">
      <c r="A102" s="11" t="s">
        <v>764</v>
      </c>
      <c r="B102" s="11">
        <v>1</v>
      </c>
      <c r="C102" s="12" t="s">
        <v>44</v>
      </c>
      <c r="D102" s="11" t="s">
        <v>118</v>
      </c>
      <c r="E102" s="12" t="s">
        <v>119</v>
      </c>
      <c r="F102" s="12" t="s">
        <v>765</v>
      </c>
      <c r="G102" s="11" t="s">
        <v>113</v>
      </c>
      <c r="H102" s="18" t="str">
        <f>IFERROR(INDEX('المحافظات Governorates'!$E$2:$E$151,MATCH(D102,'المحافظات Governorates'!$A$2:$A$151,0)),"")</f>
        <v>Ad-Dawadmi</v>
      </c>
      <c r="I102" s="18" t="str">
        <f>IFERROR(INDEX('المناطق Regions'!$C$2:$C$15,MATCH(B102,'المناطق Regions'!$A$2:$A$15,0)),"")</f>
        <v>Riyadh</v>
      </c>
      <c r="J102" s="18" t="str">
        <f>F102&amp;", "&amp;E102&amp;", Saudi Arabia"</f>
        <v>ام رضمه, الدوادمى, Saudi Arabia</v>
      </c>
      <c r="K102" s="18">
        <v>24.646924</v>
      </c>
      <c r="L102" s="18">
        <v>44.158096</v>
      </c>
      <c r="M102" s="18">
        <v>150956</v>
      </c>
      <c r="N102" s="18" t="s">
        <v>681</v>
      </c>
    </row>
    <row r="103" ht="15" customHeight="1" spans="1:14" x14ac:dyDescent="0.25">
      <c r="A103" s="13" t="s">
        <v>766</v>
      </c>
      <c r="B103" s="13">
        <v>1</v>
      </c>
      <c r="C103" s="14" t="s">
        <v>44</v>
      </c>
      <c r="D103" s="13" t="s">
        <v>118</v>
      </c>
      <c r="E103" s="14" t="s">
        <v>119</v>
      </c>
      <c r="F103" s="14" t="s">
        <v>767</v>
      </c>
      <c r="G103" s="13" t="s">
        <v>149</v>
      </c>
      <c r="H103" s="18" t="str">
        <f>IFERROR(INDEX('المحافظات Governorates'!$E$2:$E$151,MATCH(D103,'المحافظات Governorates'!$A$2:$A$151,0)),"")</f>
        <v>Ad-Dawadmi</v>
      </c>
      <c r="I103" s="18" t="str">
        <f>IFERROR(INDEX('المناطق Regions'!$C$2:$C$15,MATCH(B103,'المناطق Regions'!$A$2:$A$15,0)),"")</f>
        <v>Riyadh</v>
      </c>
      <c r="J103" s="18" t="str">
        <f>F103&amp;", "&amp;E103&amp;", Saudi Arabia"</f>
        <v>جفناء, الدوادمى, Saudi Arabia</v>
      </c>
      <c r="K103" s="18">
        <v>24.152457</v>
      </c>
      <c r="L103" s="18">
        <v>43.425613</v>
      </c>
      <c r="M103" s="18">
        <v>2000</v>
      </c>
      <c r="N103" s="18" t="s">
        <v>642</v>
      </c>
    </row>
    <row r="104" ht="15" customHeight="1" spans="1:14" x14ac:dyDescent="0.25">
      <c r="A104" s="11" t="s">
        <v>768</v>
      </c>
      <c r="B104" s="11">
        <v>1</v>
      </c>
      <c r="C104" s="12" t="s">
        <v>44</v>
      </c>
      <c r="D104" s="11" t="s">
        <v>118</v>
      </c>
      <c r="E104" s="12" t="s">
        <v>119</v>
      </c>
      <c r="F104" s="12" t="s">
        <v>769</v>
      </c>
      <c r="G104" s="11" t="s">
        <v>113</v>
      </c>
      <c r="H104" s="18" t="str">
        <f>IFERROR(INDEX('المحافظات Governorates'!$E$2:$E$151,MATCH(D104,'المحافظات Governorates'!$A$2:$A$151,0)),"")</f>
        <v>Ad-Dawadmi</v>
      </c>
      <c r="I104" s="18" t="str">
        <f>IFERROR(INDEX('المناطق Regions'!$C$2:$C$15,MATCH(B104,'المناطق Regions'!$A$2:$A$15,0)),"")</f>
        <v>Riyadh</v>
      </c>
      <c r="J104" s="18" t="str">
        <f>F104&amp;", "&amp;E104&amp;", Saudi Arabia"</f>
        <v>حديجه, الدوادمى, Saudi Arabia</v>
      </c>
      <c r="K104" s="18">
        <v>24.812323</v>
      </c>
      <c r="L104" s="18">
        <v>43.571522</v>
      </c>
      <c r="M104" s="18">
        <v>2000</v>
      </c>
      <c r="N104" s="18" t="s">
        <v>642</v>
      </c>
    </row>
    <row r="105" ht="15" customHeight="1" spans="1:14" x14ac:dyDescent="0.25">
      <c r="A105" s="13" t="s">
        <v>770</v>
      </c>
      <c r="B105" s="13">
        <v>1</v>
      </c>
      <c r="C105" s="14" t="s">
        <v>44</v>
      </c>
      <c r="D105" s="13" t="s">
        <v>118</v>
      </c>
      <c r="E105" s="14" t="s">
        <v>119</v>
      </c>
      <c r="F105" s="14" t="s">
        <v>771</v>
      </c>
      <c r="G105" s="13" t="s">
        <v>149</v>
      </c>
      <c r="H105" s="18" t="str">
        <f>IFERROR(INDEX('المحافظات Governorates'!$E$2:$E$151,MATCH(D105,'المحافظات Governorates'!$A$2:$A$151,0)),"")</f>
        <v>Ad-Dawadmi</v>
      </c>
      <c r="I105" s="18" t="str">
        <f>IFERROR(INDEX('المناطق Regions'!$C$2:$C$15,MATCH(B105,'المناطق Regions'!$A$2:$A$15,0)),"")</f>
        <v>Riyadh</v>
      </c>
      <c r="J105" s="18" t="str">
        <f>F105&amp;", "&amp;E105&amp;", Saudi Arabia"</f>
        <v>سروره, الدوادمى, Saudi Arabia</v>
      </c>
      <c r="K105" s="18">
        <v>24.551182</v>
      </c>
      <c r="L105" s="18">
        <v>43.621624</v>
      </c>
      <c r="M105" s="18">
        <v>2000</v>
      </c>
      <c r="N105" s="18" t="s">
        <v>562</v>
      </c>
    </row>
    <row r="106" ht="15" customHeight="1" spans="1:14" x14ac:dyDescent="0.25">
      <c r="A106" s="11" t="s">
        <v>772</v>
      </c>
      <c r="B106" s="11">
        <v>1</v>
      </c>
      <c r="C106" s="12" t="s">
        <v>44</v>
      </c>
      <c r="D106" s="11" t="s">
        <v>118</v>
      </c>
      <c r="E106" s="12" t="s">
        <v>119</v>
      </c>
      <c r="F106" s="12" t="s">
        <v>773</v>
      </c>
      <c r="G106" s="11" t="s">
        <v>149</v>
      </c>
      <c r="H106" s="18" t="str">
        <f>IFERROR(INDEX('المحافظات Governorates'!$E$2:$E$151,MATCH(D106,'المحافظات Governorates'!$A$2:$A$151,0)),"")</f>
        <v>Ad-Dawadmi</v>
      </c>
      <c r="I106" s="18" t="str">
        <f>IFERROR(INDEX('المناطق Regions'!$C$2:$C$15,MATCH(B106,'المناطق Regions'!$A$2:$A$15,0)),"")</f>
        <v>Riyadh</v>
      </c>
      <c r="J106" s="18" t="str">
        <f>F106&amp;", "&amp;E106&amp;", Saudi Arabia"</f>
        <v>الراجحيه, الدوادمى, Saudi Arabia</v>
      </c>
      <c r="K106" s="18">
        <v>24.637258</v>
      </c>
      <c r="L106" s="18">
        <v>43.69369</v>
      </c>
      <c r="M106" s="18">
        <v>2000</v>
      </c>
      <c r="N106" s="18" t="s">
        <v>642</v>
      </c>
    </row>
    <row r="107" ht="15" customHeight="1" spans="1:14" x14ac:dyDescent="0.25">
      <c r="A107" s="13" t="s">
        <v>774</v>
      </c>
      <c r="B107" s="13">
        <v>1</v>
      </c>
      <c r="C107" s="14" t="s">
        <v>44</v>
      </c>
      <c r="D107" s="13" t="s">
        <v>118</v>
      </c>
      <c r="E107" s="14" t="s">
        <v>119</v>
      </c>
      <c r="F107" s="14" t="s">
        <v>775</v>
      </c>
      <c r="G107" s="13" t="s">
        <v>113</v>
      </c>
      <c r="H107" s="18" t="str">
        <f>IFERROR(INDEX('المحافظات Governorates'!$E$2:$E$151,MATCH(D107,'المحافظات Governorates'!$A$2:$A$151,0)),"")</f>
        <v>Ad-Dawadmi</v>
      </c>
      <c r="I107" s="18" t="str">
        <f>IFERROR(INDEX('المناطق Regions'!$C$2:$C$15,MATCH(B107,'المناطق Regions'!$A$2:$A$15,0)),"")</f>
        <v>Riyadh</v>
      </c>
      <c r="J107" s="18" t="str">
        <f>F107&amp;", "&amp;E107&amp;", Saudi Arabia"</f>
        <v>مغيب, الدوادمى, Saudi Arabia</v>
      </c>
      <c r="K107" s="18">
        <v>24.897898</v>
      </c>
      <c r="L107" s="18">
        <v>44.548105</v>
      </c>
      <c r="M107" s="18">
        <v>2000</v>
      </c>
      <c r="N107" s="18" t="s">
        <v>642</v>
      </c>
    </row>
    <row r="108" ht="15" customHeight="1" spans="1:14" x14ac:dyDescent="0.25">
      <c r="A108" s="11" t="s">
        <v>776</v>
      </c>
      <c r="B108" s="11">
        <v>1</v>
      </c>
      <c r="C108" s="12" t="s">
        <v>44</v>
      </c>
      <c r="D108" s="11" t="s">
        <v>118</v>
      </c>
      <c r="E108" s="12" t="s">
        <v>119</v>
      </c>
      <c r="F108" s="12" t="s">
        <v>777</v>
      </c>
      <c r="G108" s="11" t="s">
        <v>113</v>
      </c>
      <c r="H108" s="18" t="str">
        <f>IFERROR(INDEX('المحافظات Governorates'!$E$2:$E$151,MATCH(D108,'المحافظات Governorates'!$A$2:$A$151,0)),"")</f>
        <v>Ad-Dawadmi</v>
      </c>
      <c r="I108" s="18" t="str">
        <f>IFERROR(INDEX('المناطق Regions'!$C$2:$C$15,MATCH(B108,'المناطق Regions'!$A$2:$A$15,0)),"")</f>
        <v>Riyadh</v>
      </c>
      <c r="J108" s="18" t="str">
        <f>F108&amp;", "&amp;E108&amp;", Saudi Arabia"</f>
        <v>عين الصوينع, الدوادمى, Saudi Arabia</v>
      </c>
      <c r="K108" s="18">
        <v>25.451143</v>
      </c>
      <c r="L108" s="18">
        <v>44.426227</v>
      </c>
      <c r="M108" s="18">
        <v>2000</v>
      </c>
      <c r="N108" s="18" t="s">
        <v>642</v>
      </c>
    </row>
    <row r="109" ht="15" customHeight="1" spans="1:14" x14ac:dyDescent="0.25">
      <c r="A109" s="13" t="s">
        <v>778</v>
      </c>
      <c r="B109" s="13">
        <v>1</v>
      </c>
      <c r="C109" s="14" t="s">
        <v>44</v>
      </c>
      <c r="D109" s="13" t="s">
        <v>118</v>
      </c>
      <c r="E109" s="14" t="s">
        <v>119</v>
      </c>
      <c r="F109" s="14" t="s">
        <v>779</v>
      </c>
      <c r="G109" s="13" t="s">
        <v>149</v>
      </c>
      <c r="H109" s="18" t="str">
        <f>IFERROR(INDEX('المحافظات Governorates'!$E$2:$E$151,MATCH(D109,'المحافظات Governorates'!$A$2:$A$151,0)),"")</f>
        <v>Ad-Dawadmi</v>
      </c>
      <c r="I109" s="18" t="str">
        <f>IFERROR(INDEX('المناطق Regions'!$C$2:$C$15,MATCH(B109,'المناطق Regions'!$A$2:$A$15,0)),"")</f>
        <v>Riyadh</v>
      </c>
      <c r="J109" s="18" t="str">
        <f>F109&amp;", "&amp;E109&amp;", Saudi Arabia"</f>
        <v>ارطاوى الرقاص, الدوادمى, Saudi Arabia</v>
      </c>
      <c r="K109" s="18">
        <v>25.066389</v>
      </c>
      <c r="L109" s="18">
        <v>44.702222</v>
      </c>
      <c r="M109" s="18">
        <v>2000</v>
      </c>
      <c r="N109" s="18" t="s">
        <v>642</v>
      </c>
    </row>
    <row r="110" ht="15" customHeight="1" spans="1:14" x14ac:dyDescent="0.25">
      <c r="A110" s="11" t="s">
        <v>780</v>
      </c>
      <c r="B110" s="11">
        <v>1</v>
      </c>
      <c r="C110" s="12" t="s">
        <v>44</v>
      </c>
      <c r="D110" s="11" t="s">
        <v>118</v>
      </c>
      <c r="E110" s="12" t="s">
        <v>119</v>
      </c>
      <c r="F110" s="12" t="s">
        <v>781</v>
      </c>
      <c r="G110" s="11" t="s">
        <v>149</v>
      </c>
      <c r="H110" s="18" t="str">
        <f>IFERROR(INDEX('المحافظات Governorates'!$E$2:$E$151,MATCH(D110,'المحافظات Governorates'!$A$2:$A$151,0)),"")</f>
        <v>Ad-Dawadmi</v>
      </c>
      <c r="I110" s="18" t="str">
        <f>IFERROR(INDEX('المناطق Regions'!$C$2:$C$15,MATCH(B110,'المناطق Regions'!$A$2:$A$15,0)),"")</f>
        <v>Riyadh</v>
      </c>
      <c r="J110" s="18" t="str">
        <f>F110&amp;", "&amp;E110&amp;", Saudi Arabia"</f>
        <v>عصماء, الدوادمى, Saudi Arabia</v>
      </c>
      <c r="K110" s="18">
        <v>24.773422</v>
      </c>
      <c r="L110" s="18">
        <v>43.693487</v>
      </c>
      <c r="M110" s="18">
        <v>2000</v>
      </c>
      <c r="N110" s="18" t="s">
        <v>642</v>
      </c>
    </row>
    <row r="111" ht="15" customHeight="1" spans="1:14" x14ac:dyDescent="0.25">
      <c r="A111" s="13" t="s">
        <v>782</v>
      </c>
      <c r="B111" s="13">
        <v>1</v>
      </c>
      <c r="C111" s="14" t="s">
        <v>44</v>
      </c>
      <c r="D111" s="13" t="s">
        <v>118</v>
      </c>
      <c r="E111" s="14" t="s">
        <v>119</v>
      </c>
      <c r="F111" s="14" t="s">
        <v>783</v>
      </c>
      <c r="G111" s="13" t="s">
        <v>149</v>
      </c>
      <c r="H111" s="18" t="str">
        <f>IFERROR(INDEX('المحافظات Governorates'!$E$2:$E$151,MATCH(D111,'المحافظات Governorates'!$A$2:$A$151,0)),"")</f>
        <v>Ad-Dawadmi</v>
      </c>
      <c r="I111" s="18" t="str">
        <f>IFERROR(INDEX('المناطق Regions'!$C$2:$C$15,MATCH(B111,'المناطق Regions'!$A$2:$A$15,0)),"")</f>
        <v>Riyadh</v>
      </c>
      <c r="J111" s="18" t="str">
        <f>F111&amp;", "&amp;E111&amp;", Saudi Arabia"</f>
        <v>ام زموع, الدوادمى, Saudi Arabia</v>
      </c>
      <c r="K111" s="18">
        <v>24.772407</v>
      </c>
      <c r="L111" s="18">
        <v>43.768853</v>
      </c>
      <c r="M111" s="18">
        <v>2000</v>
      </c>
      <c r="N111" s="18" t="s">
        <v>642</v>
      </c>
    </row>
    <row r="112" ht="15" customHeight="1" spans="1:14" x14ac:dyDescent="0.25">
      <c r="A112" s="11" t="s">
        <v>784</v>
      </c>
      <c r="B112" s="11">
        <v>1</v>
      </c>
      <c r="C112" s="12" t="s">
        <v>44</v>
      </c>
      <c r="D112" s="11" t="s">
        <v>118</v>
      </c>
      <c r="E112" s="12" t="s">
        <v>119</v>
      </c>
      <c r="F112" s="12" t="s">
        <v>785</v>
      </c>
      <c r="G112" s="11" t="s">
        <v>149</v>
      </c>
      <c r="H112" s="18" t="str">
        <f>IFERROR(INDEX('المحافظات Governorates'!$E$2:$E$151,MATCH(D112,'المحافظات Governorates'!$A$2:$A$151,0)),"")</f>
        <v>Ad-Dawadmi</v>
      </c>
      <c r="I112" s="18" t="str">
        <f>IFERROR(INDEX('المناطق Regions'!$C$2:$C$15,MATCH(B112,'المناطق Regions'!$A$2:$A$15,0)),"")</f>
        <v>Riyadh</v>
      </c>
      <c r="J112" s="18" t="str">
        <f>F112&amp;", "&amp;E112&amp;", Saudi Arabia"</f>
        <v>جفن, الدوادمى, Saudi Arabia</v>
      </c>
      <c r="K112" s="18">
        <v>25.285553</v>
      </c>
      <c r="L112" s="18">
        <v>44.569915</v>
      </c>
      <c r="M112" s="18">
        <v>2000</v>
      </c>
      <c r="N112" s="18" t="s">
        <v>642</v>
      </c>
    </row>
    <row r="113" ht="15" customHeight="1" spans="1:14" x14ac:dyDescent="0.25">
      <c r="A113" s="13" t="s">
        <v>786</v>
      </c>
      <c r="B113" s="13">
        <v>1</v>
      </c>
      <c r="C113" s="14" t="s">
        <v>44</v>
      </c>
      <c r="D113" s="13" t="s">
        <v>118</v>
      </c>
      <c r="E113" s="14" t="s">
        <v>119</v>
      </c>
      <c r="F113" s="14" t="s">
        <v>787</v>
      </c>
      <c r="G113" s="13" t="s">
        <v>149</v>
      </c>
      <c r="H113" s="18" t="str">
        <f>IFERROR(INDEX('المحافظات Governorates'!$E$2:$E$151,MATCH(D113,'المحافظات Governorates'!$A$2:$A$151,0)),"")</f>
        <v>Ad-Dawadmi</v>
      </c>
      <c r="I113" s="18" t="str">
        <f>IFERROR(INDEX('المناطق Regions'!$C$2:$C$15,MATCH(B113,'المناطق Regions'!$A$2:$A$15,0)),"")</f>
        <v>Riyadh</v>
      </c>
      <c r="J113" s="18" t="str">
        <f>F113&amp;", "&amp;E113&amp;", Saudi Arabia"</f>
        <v>الخفيفيه, الدوادمى, Saudi Arabia</v>
      </c>
      <c r="K113" s="18">
        <v>24.646924</v>
      </c>
      <c r="L113" s="18">
        <v>44.158096</v>
      </c>
      <c r="M113" s="18">
        <v>150956</v>
      </c>
      <c r="N113" s="18" t="s">
        <v>681</v>
      </c>
    </row>
    <row r="114" ht="15" customHeight="1" spans="1:14" x14ac:dyDescent="0.25">
      <c r="A114" s="11" t="s">
        <v>788</v>
      </c>
      <c r="B114" s="11">
        <v>1</v>
      </c>
      <c r="C114" s="12" t="s">
        <v>44</v>
      </c>
      <c r="D114" s="11" t="s">
        <v>118</v>
      </c>
      <c r="E114" s="12" t="s">
        <v>119</v>
      </c>
      <c r="F114" s="12" t="s">
        <v>789</v>
      </c>
      <c r="G114" s="11" t="s">
        <v>113</v>
      </c>
      <c r="H114" s="18" t="str">
        <f>IFERROR(INDEX('المحافظات Governorates'!$E$2:$E$151,MATCH(D114,'المحافظات Governorates'!$A$2:$A$151,0)),"")</f>
        <v>Ad-Dawadmi</v>
      </c>
      <c r="I114" s="18" t="str">
        <f>IFERROR(INDEX('المناطق Regions'!$C$2:$C$15,MATCH(B114,'المناطق Regions'!$A$2:$A$15,0)),"")</f>
        <v>Riyadh</v>
      </c>
      <c r="J114" s="18" t="str">
        <f>F114&amp;", "&amp;E114&amp;", Saudi Arabia"</f>
        <v>أوثيلان بالسر, الدوادمى, Saudi Arabia</v>
      </c>
      <c r="K114" s="18">
        <v>24.646924</v>
      </c>
      <c r="L114" s="18">
        <v>44.158096</v>
      </c>
      <c r="M114" s="18">
        <v>150956</v>
      </c>
      <c r="N114" s="18" t="s">
        <v>681</v>
      </c>
    </row>
    <row r="115" ht="15" customHeight="1" spans="1:14" x14ac:dyDescent="0.25">
      <c r="A115" s="13" t="s">
        <v>790</v>
      </c>
      <c r="B115" s="13">
        <v>1</v>
      </c>
      <c r="C115" s="14" t="s">
        <v>44</v>
      </c>
      <c r="D115" s="13" t="s">
        <v>118</v>
      </c>
      <c r="E115" s="14" t="s">
        <v>119</v>
      </c>
      <c r="F115" s="14" t="s">
        <v>791</v>
      </c>
      <c r="G115" s="13" t="s">
        <v>149</v>
      </c>
      <c r="H115" s="18" t="str">
        <f>IFERROR(INDEX('المحافظات Governorates'!$E$2:$E$151,MATCH(D115,'المحافظات Governorates'!$A$2:$A$151,0)),"")</f>
        <v>Ad-Dawadmi</v>
      </c>
      <c r="I115" s="18" t="str">
        <f>IFERROR(INDEX('المناطق Regions'!$C$2:$C$15,MATCH(B115,'المناطق Regions'!$A$2:$A$15,0)),"")</f>
        <v>Riyadh</v>
      </c>
      <c r="J115" s="18" t="str">
        <f>F115&amp;", "&amp;E115&amp;", Saudi Arabia"</f>
        <v>عشيره المخامر, الدوادمى, Saudi Arabia</v>
      </c>
      <c r="K115" s="18">
        <v>25.114382</v>
      </c>
      <c r="L115" s="18">
        <v>43.5947</v>
      </c>
      <c r="M115" s="18">
        <v>2000</v>
      </c>
      <c r="N115" s="18" t="s">
        <v>562</v>
      </c>
    </row>
    <row r="116" ht="15" customHeight="1" spans="1:14" x14ac:dyDescent="0.25">
      <c r="A116" s="11" t="s">
        <v>792</v>
      </c>
      <c r="B116" s="11">
        <v>1</v>
      </c>
      <c r="C116" s="12" t="s">
        <v>44</v>
      </c>
      <c r="D116" s="11" t="s">
        <v>118</v>
      </c>
      <c r="E116" s="12" t="s">
        <v>119</v>
      </c>
      <c r="F116" s="12" t="s">
        <v>793</v>
      </c>
      <c r="G116" s="11" t="s">
        <v>149</v>
      </c>
      <c r="H116" s="18" t="str">
        <f>IFERROR(INDEX('المحافظات Governorates'!$E$2:$E$151,MATCH(D116,'المحافظات Governorates'!$A$2:$A$151,0)),"")</f>
        <v>Ad-Dawadmi</v>
      </c>
      <c r="I116" s="18" t="str">
        <f>IFERROR(INDEX('المناطق Regions'!$C$2:$C$15,MATCH(B116,'المناطق Regions'!$A$2:$A$15,0)),"")</f>
        <v>Riyadh</v>
      </c>
      <c r="J116" s="18" t="str">
        <f>F116&amp;", "&amp;E116&amp;", Saudi Arabia"</f>
        <v>البراحه, الدوادمى, Saudi Arabia</v>
      </c>
      <c r="K116" s="18">
        <v>24.646924</v>
      </c>
      <c r="L116" s="18">
        <v>44.158096</v>
      </c>
      <c r="M116" s="18">
        <v>150956</v>
      </c>
      <c r="N116" s="18" t="s">
        <v>681</v>
      </c>
    </row>
    <row r="117" ht="15" customHeight="1" spans="1:14" x14ac:dyDescent="0.25">
      <c r="A117" s="13" t="s">
        <v>794</v>
      </c>
      <c r="B117" s="13">
        <v>1</v>
      </c>
      <c r="C117" s="14" t="s">
        <v>44</v>
      </c>
      <c r="D117" s="13" t="s">
        <v>118</v>
      </c>
      <c r="E117" s="14" t="s">
        <v>119</v>
      </c>
      <c r="F117" s="14" t="s">
        <v>795</v>
      </c>
      <c r="G117" s="13" t="s">
        <v>149</v>
      </c>
      <c r="H117" s="18" t="str">
        <f>IFERROR(INDEX('المحافظات Governorates'!$E$2:$E$151,MATCH(D117,'المحافظات Governorates'!$A$2:$A$151,0)),"")</f>
        <v>Ad-Dawadmi</v>
      </c>
      <c r="I117" s="18" t="str">
        <f>IFERROR(INDEX('المناطق Regions'!$C$2:$C$15,MATCH(B117,'المناطق Regions'!$A$2:$A$15,0)),"")</f>
        <v>Riyadh</v>
      </c>
      <c r="J117" s="18" t="str">
        <f>F117&amp;", "&amp;E117&amp;", Saudi Arabia"</f>
        <v>الظلماوى, الدوادمى, Saudi Arabia</v>
      </c>
      <c r="K117" s="18">
        <v>24.662132</v>
      </c>
      <c r="L117" s="18">
        <v>43.562853</v>
      </c>
      <c r="M117" s="18">
        <v>2000</v>
      </c>
      <c r="N117" s="18" t="s">
        <v>642</v>
      </c>
    </row>
    <row r="118" ht="15" customHeight="1" spans="1:14" x14ac:dyDescent="0.25">
      <c r="A118" s="11" t="s">
        <v>796</v>
      </c>
      <c r="B118" s="11">
        <v>1</v>
      </c>
      <c r="C118" s="12" t="s">
        <v>44</v>
      </c>
      <c r="D118" s="11" t="s">
        <v>118</v>
      </c>
      <c r="E118" s="12" t="s">
        <v>119</v>
      </c>
      <c r="F118" s="12" t="s">
        <v>797</v>
      </c>
      <c r="G118" s="11" t="s">
        <v>149</v>
      </c>
      <c r="H118" s="18" t="str">
        <f>IFERROR(INDEX('المحافظات Governorates'!$E$2:$E$151,MATCH(D118,'المحافظات Governorates'!$A$2:$A$151,0)),"")</f>
        <v>Ad-Dawadmi</v>
      </c>
      <c r="I118" s="18" t="str">
        <f>IFERROR(INDEX('المناطق Regions'!$C$2:$C$15,MATCH(B118,'المناطق Regions'!$A$2:$A$15,0)),"")</f>
        <v>Riyadh</v>
      </c>
      <c r="J118" s="18" t="str">
        <f>F118&amp;", "&amp;E118&amp;", Saudi Arabia"</f>
        <v>ابو ركب, الدوادمى, Saudi Arabia</v>
      </c>
      <c r="K118" s="18">
        <v>25.10715</v>
      </c>
      <c r="L118" s="18">
        <v>43.469123</v>
      </c>
      <c r="M118" s="18">
        <v>2000</v>
      </c>
      <c r="N118" s="18" t="s">
        <v>642</v>
      </c>
    </row>
    <row r="119" ht="15" customHeight="1" spans="1:14" x14ac:dyDescent="0.25">
      <c r="A119" s="13" t="s">
        <v>798</v>
      </c>
      <c r="B119" s="13">
        <v>1</v>
      </c>
      <c r="C119" s="14" t="s">
        <v>44</v>
      </c>
      <c r="D119" s="13" t="s">
        <v>118</v>
      </c>
      <c r="E119" s="14" t="s">
        <v>119</v>
      </c>
      <c r="F119" s="14" t="s">
        <v>799</v>
      </c>
      <c r="G119" s="13" t="s">
        <v>149</v>
      </c>
      <c r="H119" s="18" t="str">
        <f>IFERROR(INDEX('المحافظات Governorates'!$E$2:$E$151,MATCH(D119,'المحافظات Governorates'!$A$2:$A$151,0)),"")</f>
        <v>Ad-Dawadmi</v>
      </c>
      <c r="I119" s="18" t="str">
        <f>IFERROR(INDEX('المناطق Regions'!$C$2:$C$15,MATCH(B119,'المناطق Regions'!$A$2:$A$15,0)),"")</f>
        <v>Riyadh</v>
      </c>
      <c r="J119" s="18" t="str">
        <f>F119&amp;", "&amp;E119&amp;", Saudi Arabia"</f>
        <v>الصالحيه, الدوادمى, Saudi Arabia</v>
      </c>
      <c r="K119" s="18">
        <v>24.636427</v>
      </c>
      <c r="L119" s="18">
        <v>43.703734</v>
      </c>
      <c r="M119" s="18">
        <v>2000</v>
      </c>
      <c r="N119" s="18" t="s">
        <v>562</v>
      </c>
    </row>
    <row r="120" ht="15" customHeight="1" spans="1:14" x14ac:dyDescent="0.25">
      <c r="A120" s="11" t="s">
        <v>800</v>
      </c>
      <c r="B120" s="11">
        <v>1</v>
      </c>
      <c r="C120" s="12" t="s">
        <v>44</v>
      </c>
      <c r="D120" s="11" t="s">
        <v>118</v>
      </c>
      <c r="E120" s="12" t="s">
        <v>119</v>
      </c>
      <c r="F120" s="12" t="s">
        <v>801</v>
      </c>
      <c r="G120" s="11" t="s">
        <v>149</v>
      </c>
      <c r="H120" s="18" t="str">
        <f>IFERROR(INDEX('المحافظات Governorates'!$E$2:$E$151,MATCH(D120,'المحافظات Governorates'!$A$2:$A$151,0)),"")</f>
        <v>Ad-Dawadmi</v>
      </c>
      <c r="I120" s="18" t="str">
        <f>IFERROR(INDEX('المناطق Regions'!$C$2:$C$15,MATCH(B120,'المناطق Regions'!$A$2:$A$15,0)),"")</f>
        <v>Riyadh</v>
      </c>
      <c r="J120" s="18" t="str">
        <f>F120&amp;", "&amp;E120&amp;", Saudi Arabia"</f>
        <v>عسيله الوسطى, الدوادمى, Saudi Arabia</v>
      </c>
      <c r="K120" s="18">
        <v>24.646924</v>
      </c>
      <c r="L120" s="18">
        <v>44.158096</v>
      </c>
      <c r="M120" s="18">
        <v>150956</v>
      </c>
      <c r="N120" s="18" t="s">
        <v>681</v>
      </c>
    </row>
    <row r="121" ht="15" customHeight="1" spans="1:14" x14ac:dyDescent="0.25">
      <c r="A121" s="13" t="s">
        <v>802</v>
      </c>
      <c r="B121" s="13">
        <v>1</v>
      </c>
      <c r="C121" s="14" t="s">
        <v>44</v>
      </c>
      <c r="D121" s="13" t="s">
        <v>118</v>
      </c>
      <c r="E121" s="14" t="s">
        <v>119</v>
      </c>
      <c r="F121" s="14" t="s">
        <v>803</v>
      </c>
      <c r="G121" s="13" t="s">
        <v>149</v>
      </c>
      <c r="H121" s="18" t="str">
        <f>IFERROR(INDEX('المحافظات Governorates'!$E$2:$E$151,MATCH(D121,'المحافظات Governorates'!$A$2:$A$151,0)),"")</f>
        <v>Ad-Dawadmi</v>
      </c>
      <c r="I121" s="18" t="str">
        <f>IFERROR(INDEX('المناطق Regions'!$C$2:$C$15,MATCH(B121,'المناطق Regions'!$A$2:$A$15,0)),"")</f>
        <v>Riyadh</v>
      </c>
      <c r="J121" s="18" t="str">
        <f>F121&amp;", "&amp;E121&amp;", Saudi Arabia"</f>
        <v>العازميه, الدوادمى, Saudi Arabia</v>
      </c>
      <c r="K121" s="18">
        <v>24.511573</v>
      </c>
      <c r="L121" s="18">
        <v>43.586854</v>
      </c>
      <c r="M121" s="18">
        <v>2000</v>
      </c>
      <c r="N121" s="18" t="s">
        <v>562</v>
      </c>
    </row>
    <row r="122" ht="15" customHeight="1" spans="1:14" x14ac:dyDescent="0.25">
      <c r="A122" s="11" t="s">
        <v>804</v>
      </c>
      <c r="B122" s="11">
        <v>1</v>
      </c>
      <c r="C122" s="12" t="s">
        <v>44</v>
      </c>
      <c r="D122" s="11" t="s">
        <v>118</v>
      </c>
      <c r="E122" s="12" t="s">
        <v>119</v>
      </c>
      <c r="F122" s="12" t="s">
        <v>805</v>
      </c>
      <c r="G122" s="11" t="s">
        <v>149</v>
      </c>
      <c r="H122" s="18" t="str">
        <f>IFERROR(INDEX('المحافظات Governorates'!$E$2:$E$151,MATCH(D122,'المحافظات Governorates'!$A$2:$A$151,0)),"")</f>
        <v>Ad-Dawadmi</v>
      </c>
      <c r="I122" s="18" t="str">
        <f>IFERROR(INDEX('المناطق Regions'!$C$2:$C$15,MATCH(B122,'المناطق Regions'!$A$2:$A$15,0)),"")</f>
        <v>Riyadh</v>
      </c>
      <c r="J122" s="18" t="str">
        <f>F122&amp;", "&amp;E122&amp;", Saudi Arabia"</f>
        <v>سهله, الدوادمى, Saudi Arabia</v>
      </c>
      <c r="K122" s="18">
        <v>24.678751</v>
      </c>
      <c r="L122" s="18">
        <v>43.674901</v>
      </c>
      <c r="M122" s="18">
        <v>2000</v>
      </c>
      <c r="N122" s="18" t="s">
        <v>562</v>
      </c>
    </row>
    <row r="123" ht="15" customHeight="1" spans="1:14" x14ac:dyDescent="0.25">
      <c r="A123" s="13" t="s">
        <v>806</v>
      </c>
      <c r="B123" s="13">
        <v>1</v>
      </c>
      <c r="C123" s="14" t="s">
        <v>44</v>
      </c>
      <c r="D123" s="13" t="s">
        <v>118</v>
      </c>
      <c r="E123" s="14" t="s">
        <v>119</v>
      </c>
      <c r="F123" s="14" t="s">
        <v>807</v>
      </c>
      <c r="G123" s="13" t="s">
        <v>149</v>
      </c>
      <c r="H123" s="18" t="str">
        <f>IFERROR(INDEX('المحافظات Governorates'!$E$2:$E$151,MATCH(D123,'المحافظات Governorates'!$A$2:$A$151,0)),"")</f>
        <v>Ad-Dawadmi</v>
      </c>
      <c r="I123" s="18" t="str">
        <f>IFERROR(INDEX('المناطق Regions'!$C$2:$C$15,MATCH(B123,'المناطق Regions'!$A$2:$A$15,0)),"")</f>
        <v>Riyadh</v>
      </c>
      <c r="J123" s="18" t="str">
        <f>F123&amp;", "&amp;E123&amp;", Saudi Arabia"</f>
        <v>ساحب, الدوادمى, Saudi Arabia</v>
      </c>
      <c r="K123" s="18">
        <v>23.809095</v>
      </c>
      <c r="L123" s="18">
        <v>44.646975</v>
      </c>
      <c r="M123" s="18">
        <v>2000</v>
      </c>
      <c r="N123" s="18" t="s">
        <v>642</v>
      </c>
    </row>
    <row r="124" ht="15" customHeight="1" spans="1:14" x14ac:dyDescent="0.25">
      <c r="A124" s="11" t="s">
        <v>808</v>
      </c>
      <c r="B124" s="11">
        <v>1</v>
      </c>
      <c r="C124" s="12" t="s">
        <v>44</v>
      </c>
      <c r="D124" s="11" t="s">
        <v>118</v>
      </c>
      <c r="E124" s="12" t="s">
        <v>119</v>
      </c>
      <c r="F124" s="12" t="s">
        <v>809</v>
      </c>
      <c r="G124" s="11" t="s">
        <v>149</v>
      </c>
      <c r="H124" s="18" t="str">
        <f>IFERROR(INDEX('المحافظات Governorates'!$E$2:$E$151,MATCH(D124,'المحافظات Governorates'!$A$2:$A$151,0)),"")</f>
        <v>Ad-Dawadmi</v>
      </c>
      <c r="I124" s="18" t="str">
        <f>IFERROR(INDEX('المناطق Regions'!$C$2:$C$15,MATCH(B124,'المناطق Regions'!$A$2:$A$15,0)),"")</f>
        <v>Riyadh</v>
      </c>
      <c r="J124" s="18" t="str">
        <f>F124&amp;", "&amp;E124&amp;", Saudi Arabia"</f>
        <v>مشرف, الدوادمى, Saudi Arabia</v>
      </c>
      <c r="K124" s="18">
        <v>25.410359</v>
      </c>
      <c r="L124" s="18">
        <v>44.465091</v>
      </c>
      <c r="M124" s="18">
        <v>2000</v>
      </c>
      <c r="N124" s="18" t="s">
        <v>642</v>
      </c>
    </row>
    <row r="125" ht="15" customHeight="1" spans="1:14" x14ac:dyDescent="0.25">
      <c r="A125" s="13" t="s">
        <v>810</v>
      </c>
      <c r="B125" s="13">
        <v>1</v>
      </c>
      <c r="C125" s="14" t="s">
        <v>44</v>
      </c>
      <c r="D125" s="13" t="s">
        <v>118</v>
      </c>
      <c r="E125" s="14" t="s">
        <v>119</v>
      </c>
      <c r="F125" s="14" t="s">
        <v>811</v>
      </c>
      <c r="G125" s="13" t="s">
        <v>149</v>
      </c>
      <c r="H125" s="18" t="str">
        <f>IFERROR(INDEX('المحافظات Governorates'!$E$2:$E$151,MATCH(D125,'المحافظات Governorates'!$A$2:$A$151,0)),"")</f>
        <v>Ad-Dawadmi</v>
      </c>
      <c r="I125" s="18" t="str">
        <f>IFERROR(INDEX('المناطق Regions'!$C$2:$C$15,MATCH(B125,'المناطق Regions'!$A$2:$A$15,0)),"")</f>
        <v>Riyadh</v>
      </c>
      <c r="J125" s="18" t="str">
        <f>F125&amp;", "&amp;E125&amp;", Saudi Arabia"</f>
        <v>التسرير, الدوادمى, Saudi Arabia</v>
      </c>
      <c r="K125" s="18">
        <v>25.081658</v>
      </c>
      <c r="L125" s="18">
        <v>44.284565</v>
      </c>
      <c r="M125" s="18">
        <v>2000</v>
      </c>
      <c r="N125" s="18" t="s">
        <v>642</v>
      </c>
    </row>
    <row r="126" ht="15" customHeight="1" spans="1:14" x14ac:dyDescent="0.25">
      <c r="A126" s="11" t="s">
        <v>812</v>
      </c>
      <c r="B126" s="11">
        <v>1</v>
      </c>
      <c r="C126" s="12" t="s">
        <v>44</v>
      </c>
      <c r="D126" s="11" t="s">
        <v>118</v>
      </c>
      <c r="E126" s="12" t="s">
        <v>119</v>
      </c>
      <c r="F126" s="12" t="s">
        <v>813</v>
      </c>
      <c r="G126" s="11" t="s">
        <v>149</v>
      </c>
      <c r="H126" s="18" t="str">
        <f>IFERROR(INDEX('المحافظات Governorates'!$E$2:$E$151,MATCH(D126,'المحافظات Governorates'!$A$2:$A$151,0)),"")</f>
        <v>Ad-Dawadmi</v>
      </c>
      <c r="I126" s="18" t="str">
        <f>IFERROR(INDEX('المناطق Regions'!$C$2:$C$15,MATCH(B126,'المناطق Regions'!$A$2:$A$15,0)),"")</f>
        <v>Riyadh</v>
      </c>
      <c r="J126" s="18" t="str">
        <f>F126&amp;", "&amp;E126&amp;", Saudi Arabia"</f>
        <v>شراره, الدوادمى, Saudi Arabia</v>
      </c>
      <c r="K126" s="18">
        <v>24.257772</v>
      </c>
      <c r="L126" s="18">
        <v>43.745019</v>
      </c>
      <c r="M126" s="18">
        <v>2000</v>
      </c>
      <c r="N126" s="18" t="s">
        <v>562</v>
      </c>
    </row>
    <row r="127" ht="15" customHeight="1" spans="1:14" x14ac:dyDescent="0.25">
      <c r="A127" s="13" t="s">
        <v>814</v>
      </c>
      <c r="B127" s="13">
        <v>1</v>
      </c>
      <c r="C127" s="14" t="s">
        <v>44</v>
      </c>
      <c r="D127" s="13" t="s">
        <v>118</v>
      </c>
      <c r="E127" s="14" t="s">
        <v>119</v>
      </c>
      <c r="F127" s="14" t="s">
        <v>815</v>
      </c>
      <c r="G127" s="13" t="s">
        <v>149</v>
      </c>
      <c r="H127" s="18" t="str">
        <f>IFERROR(INDEX('المحافظات Governorates'!$E$2:$E$151,MATCH(D127,'المحافظات Governorates'!$A$2:$A$151,0)),"")</f>
        <v>Ad-Dawadmi</v>
      </c>
      <c r="I127" s="18" t="str">
        <f>IFERROR(INDEX('المناطق Regions'!$C$2:$C$15,MATCH(B127,'المناطق Regions'!$A$2:$A$15,0)),"")</f>
        <v>Riyadh</v>
      </c>
      <c r="J127" s="18" t="str">
        <f>F127&amp;", "&amp;E127&amp;", Saudi Arabia"</f>
        <v>الروسان بالقرنة, الدوادمى, Saudi Arabia</v>
      </c>
      <c r="K127" s="18">
        <v>24.646924</v>
      </c>
      <c r="L127" s="18">
        <v>44.158096</v>
      </c>
      <c r="M127" s="18">
        <v>150956</v>
      </c>
      <c r="N127" s="18" t="s">
        <v>681</v>
      </c>
    </row>
    <row r="128" ht="15" customHeight="1" spans="1:14" x14ac:dyDescent="0.25">
      <c r="A128" s="11" t="s">
        <v>816</v>
      </c>
      <c r="B128" s="11">
        <v>1</v>
      </c>
      <c r="C128" s="12" t="s">
        <v>44</v>
      </c>
      <c r="D128" s="11" t="s">
        <v>118</v>
      </c>
      <c r="E128" s="12" t="s">
        <v>119</v>
      </c>
      <c r="F128" s="12" t="s">
        <v>817</v>
      </c>
      <c r="G128" s="11" t="s">
        <v>149</v>
      </c>
      <c r="H128" s="18" t="str">
        <f>IFERROR(INDEX('المحافظات Governorates'!$E$2:$E$151,MATCH(D128,'المحافظات Governorates'!$A$2:$A$151,0)),"")</f>
        <v>Ad-Dawadmi</v>
      </c>
      <c r="I128" s="18" t="str">
        <f>IFERROR(INDEX('المناطق Regions'!$C$2:$C$15,MATCH(B128,'المناطق Regions'!$A$2:$A$15,0)),"")</f>
        <v>Riyadh</v>
      </c>
      <c r="J128" s="18" t="str">
        <f>F128&amp;", "&amp;E128&amp;", Saudi Arabia"</f>
        <v>الديريه, الدوادمى, Saudi Arabia</v>
      </c>
      <c r="K128" s="18">
        <v>25.211886</v>
      </c>
      <c r="L128" s="18">
        <v>44.221279</v>
      </c>
      <c r="M128" s="18">
        <v>2000</v>
      </c>
      <c r="N128" s="18" t="s">
        <v>642</v>
      </c>
    </row>
    <row r="129" ht="15" customHeight="1" spans="1:14" x14ac:dyDescent="0.25">
      <c r="A129" s="13" t="s">
        <v>818</v>
      </c>
      <c r="B129" s="13">
        <v>1</v>
      </c>
      <c r="C129" s="14" t="s">
        <v>44</v>
      </c>
      <c r="D129" s="13" t="s">
        <v>118</v>
      </c>
      <c r="E129" s="14" t="s">
        <v>119</v>
      </c>
      <c r="F129" s="14" t="s">
        <v>819</v>
      </c>
      <c r="G129" s="13" t="s">
        <v>149</v>
      </c>
      <c r="H129" s="18" t="str">
        <f>IFERROR(INDEX('المحافظات Governorates'!$E$2:$E$151,MATCH(D129,'المحافظات Governorates'!$A$2:$A$151,0)),"")</f>
        <v>Ad-Dawadmi</v>
      </c>
      <c r="I129" s="18" t="str">
        <f>IFERROR(INDEX('المناطق Regions'!$C$2:$C$15,MATCH(B129,'المناطق Regions'!$A$2:$A$15,0)),"")</f>
        <v>Riyadh</v>
      </c>
      <c r="J129" s="18" t="str">
        <f>F129&amp;", "&amp;E129&amp;", Saudi Arabia"</f>
        <v>نجخ, الدوادمى, Saudi Arabia</v>
      </c>
      <c r="K129" s="18">
        <v>24.668189</v>
      </c>
      <c r="L129" s="18">
        <v>43.66079</v>
      </c>
      <c r="M129" s="18">
        <v>2000</v>
      </c>
      <c r="N129" s="18" t="s">
        <v>642</v>
      </c>
    </row>
    <row r="130" ht="15" customHeight="1" spans="1:14" x14ac:dyDescent="0.25">
      <c r="A130" s="11" t="s">
        <v>820</v>
      </c>
      <c r="B130" s="11">
        <v>1</v>
      </c>
      <c r="C130" s="12" t="s">
        <v>44</v>
      </c>
      <c r="D130" s="11" t="s">
        <v>118</v>
      </c>
      <c r="E130" s="12" t="s">
        <v>119</v>
      </c>
      <c r="F130" s="12" t="s">
        <v>821</v>
      </c>
      <c r="G130" s="11" t="s">
        <v>149</v>
      </c>
      <c r="H130" s="18" t="str">
        <f>IFERROR(INDEX('المحافظات Governorates'!$E$2:$E$151,MATCH(D130,'المحافظات Governorates'!$A$2:$A$151,0)),"")</f>
        <v>Ad-Dawadmi</v>
      </c>
      <c r="I130" s="18" t="str">
        <f>IFERROR(INDEX('المناطق Regions'!$C$2:$C$15,MATCH(B130,'المناطق Regions'!$A$2:$A$15,0)),"")</f>
        <v>Riyadh</v>
      </c>
      <c r="J130" s="18" t="str">
        <f>F130&amp;", "&amp;E130&amp;", Saudi Arabia"</f>
        <v>مساوي, الدوادمى, Saudi Arabia</v>
      </c>
      <c r="K130" s="18">
        <v>24.946025</v>
      </c>
      <c r="L130" s="18">
        <v>43.838873</v>
      </c>
      <c r="M130" s="18">
        <v>2000</v>
      </c>
      <c r="N130" s="18" t="s">
        <v>642</v>
      </c>
    </row>
    <row r="131" ht="15" customHeight="1" spans="1:14" x14ac:dyDescent="0.25">
      <c r="A131" s="13" t="s">
        <v>822</v>
      </c>
      <c r="B131" s="13">
        <v>1</v>
      </c>
      <c r="C131" s="14" t="s">
        <v>44</v>
      </c>
      <c r="D131" s="13" t="s">
        <v>118</v>
      </c>
      <c r="E131" s="14" t="s">
        <v>119</v>
      </c>
      <c r="F131" s="14" t="s">
        <v>823</v>
      </c>
      <c r="G131" s="13" t="s">
        <v>149</v>
      </c>
      <c r="H131" s="18" t="str">
        <f>IFERROR(INDEX('المحافظات Governorates'!$E$2:$E$151,MATCH(D131,'المحافظات Governorates'!$A$2:$A$151,0)),"")</f>
        <v>Ad-Dawadmi</v>
      </c>
      <c r="I131" s="18" t="str">
        <f>IFERROR(INDEX('المناطق Regions'!$C$2:$C$15,MATCH(B131,'المناطق Regions'!$A$2:$A$15,0)),"")</f>
        <v>Riyadh</v>
      </c>
      <c r="J131" s="18" t="str">
        <f>F131&amp;", "&amp;E131&amp;", Saudi Arabia"</f>
        <v>الثندوه, الدوادمى, Saudi Arabia</v>
      </c>
      <c r="K131" s="18">
        <v>25.024512</v>
      </c>
      <c r="L131" s="18">
        <v>44.397558</v>
      </c>
      <c r="M131" s="18">
        <v>2000</v>
      </c>
      <c r="N131" s="18" t="s">
        <v>562</v>
      </c>
    </row>
    <row r="132" ht="15" customHeight="1" spans="1:14" x14ac:dyDescent="0.25">
      <c r="A132" s="11" t="s">
        <v>824</v>
      </c>
      <c r="B132" s="11">
        <v>1</v>
      </c>
      <c r="C132" s="12" t="s">
        <v>44</v>
      </c>
      <c r="D132" s="11" t="s">
        <v>118</v>
      </c>
      <c r="E132" s="12" t="s">
        <v>119</v>
      </c>
      <c r="F132" s="12" t="s">
        <v>825</v>
      </c>
      <c r="G132" s="11" t="s">
        <v>149</v>
      </c>
      <c r="H132" s="18" t="str">
        <f>IFERROR(INDEX('المحافظات Governorates'!$E$2:$E$151,MATCH(D132,'المحافظات Governorates'!$A$2:$A$151,0)),"")</f>
        <v>Ad-Dawadmi</v>
      </c>
      <c r="I132" s="18" t="str">
        <f>IFERROR(INDEX('المناطق Regions'!$C$2:$C$15,MATCH(B132,'المناطق Regions'!$A$2:$A$15,0)),"")</f>
        <v>Riyadh</v>
      </c>
      <c r="J132" s="18" t="str">
        <f>F132&amp;", "&amp;E132&amp;", Saudi Arabia"</f>
        <v>هجرة الفيحاء, الدوادمى, Saudi Arabia</v>
      </c>
      <c r="K132" s="18">
        <v>24.646924</v>
      </c>
      <c r="L132" s="18">
        <v>44.158096</v>
      </c>
      <c r="M132" s="18">
        <v>150956</v>
      </c>
      <c r="N132" s="18" t="s">
        <v>681</v>
      </c>
    </row>
    <row r="133" ht="15" customHeight="1" spans="1:14" x14ac:dyDescent="0.25">
      <c r="A133" s="13" t="s">
        <v>826</v>
      </c>
      <c r="B133" s="13">
        <v>1</v>
      </c>
      <c r="C133" s="14" t="s">
        <v>44</v>
      </c>
      <c r="D133" s="13" t="s">
        <v>118</v>
      </c>
      <c r="E133" s="14" t="s">
        <v>119</v>
      </c>
      <c r="F133" s="14" t="s">
        <v>827</v>
      </c>
      <c r="G133" s="13" t="s">
        <v>149</v>
      </c>
      <c r="H133" s="18" t="str">
        <f>IFERROR(INDEX('المحافظات Governorates'!$E$2:$E$151,MATCH(D133,'المحافظات Governorates'!$A$2:$A$151,0)),"")</f>
        <v>Ad-Dawadmi</v>
      </c>
      <c r="I133" s="18" t="str">
        <f>IFERROR(INDEX('المناطق Regions'!$C$2:$C$15,MATCH(B133,'المناطق Regions'!$A$2:$A$15,0)),"")</f>
        <v>Riyadh</v>
      </c>
      <c r="J133" s="18" t="str">
        <f>F133&amp;", "&amp;E133&amp;", Saudi Arabia"</f>
        <v>المصلوم, الدوادمى, Saudi Arabia</v>
      </c>
      <c r="K133" s="18">
        <v>23.950539</v>
      </c>
      <c r="L133" s="18">
        <v>43.720062</v>
      </c>
      <c r="M133" s="18">
        <v>2000</v>
      </c>
      <c r="N133" s="18" t="s">
        <v>642</v>
      </c>
    </row>
    <row r="134" ht="15" customHeight="1" spans="1:14" x14ac:dyDescent="0.25">
      <c r="A134" s="11" t="s">
        <v>828</v>
      </c>
      <c r="B134" s="11">
        <v>1</v>
      </c>
      <c r="C134" s="12" t="s">
        <v>44</v>
      </c>
      <c r="D134" s="11" t="s">
        <v>118</v>
      </c>
      <c r="E134" s="12" t="s">
        <v>119</v>
      </c>
      <c r="F134" s="12" t="s">
        <v>829</v>
      </c>
      <c r="G134" s="11" t="s">
        <v>149</v>
      </c>
      <c r="H134" s="18" t="str">
        <f>IFERROR(INDEX('المحافظات Governorates'!$E$2:$E$151,MATCH(D134,'المحافظات Governorates'!$A$2:$A$151,0)),"")</f>
        <v>Ad-Dawadmi</v>
      </c>
      <c r="I134" s="18" t="str">
        <f>IFERROR(INDEX('المناطق Regions'!$C$2:$C$15,MATCH(B134,'المناطق Regions'!$A$2:$A$15,0)),"")</f>
        <v>Riyadh</v>
      </c>
      <c r="J134" s="18" t="str">
        <f>F134&amp;", "&amp;E134&amp;", Saudi Arabia"</f>
        <v>المحمديه, الدوادمى, Saudi Arabia</v>
      </c>
      <c r="K134" s="18">
        <v>24.792062</v>
      </c>
      <c r="L134" s="18">
        <v>44.816936</v>
      </c>
      <c r="M134" s="18">
        <v>2000</v>
      </c>
      <c r="N134" s="18" t="s">
        <v>562</v>
      </c>
    </row>
    <row r="135" ht="15" customHeight="1" spans="1:14" x14ac:dyDescent="0.25">
      <c r="A135" s="13" t="s">
        <v>830</v>
      </c>
      <c r="B135" s="13">
        <v>1</v>
      </c>
      <c r="C135" s="14" t="s">
        <v>44</v>
      </c>
      <c r="D135" s="13" t="s">
        <v>118</v>
      </c>
      <c r="E135" s="14" t="s">
        <v>119</v>
      </c>
      <c r="F135" s="14" t="s">
        <v>831</v>
      </c>
      <c r="G135" s="13" t="s">
        <v>149</v>
      </c>
      <c r="H135" s="18" t="str">
        <f>IFERROR(INDEX('المحافظات Governorates'!$E$2:$E$151,MATCH(D135,'المحافظات Governorates'!$A$2:$A$151,0)),"")</f>
        <v>Ad-Dawadmi</v>
      </c>
      <c r="I135" s="18" t="str">
        <f>IFERROR(INDEX('المناطق Regions'!$C$2:$C$15,MATCH(B135,'المناطق Regions'!$A$2:$A$15,0)),"")</f>
        <v>Riyadh</v>
      </c>
      <c r="J135" s="18" t="str">
        <f>F135&amp;", "&amp;E135&amp;", Saudi Arabia"</f>
        <v>الفيصليه, الدوادمى, Saudi Arabia</v>
      </c>
      <c r="K135" s="18">
        <v>24.598149</v>
      </c>
      <c r="L135" s="18">
        <v>44.366405</v>
      </c>
      <c r="M135" s="18">
        <v>2000</v>
      </c>
      <c r="N135" s="18" t="s">
        <v>642</v>
      </c>
    </row>
    <row r="136" ht="15" customHeight="1" spans="1:14" x14ac:dyDescent="0.25">
      <c r="A136" s="11" t="s">
        <v>832</v>
      </c>
      <c r="B136" s="11">
        <v>1</v>
      </c>
      <c r="C136" s="12" t="s">
        <v>44</v>
      </c>
      <c r="D136" s="11" t="s">
        <v>118</v>
      </c>
      <c r="E136" s="12" t="s">
        <v>119</v>
      </c>
      <c r="F136" s="12" t="s">
        <v>833</v>
      </c>
      <c r="G136" s="11" t="s">
        <v>149</v>
      </c>
      <c r="H136" s="18" t="str">
        <f>IFERROR(INDEX('المحافظات Governorates'!$E$2:$E$151,MATCH(D136,'المحافظات Governorates'!$A$2:$A$151,0)),"")</f>
        <v>Ad-Dawadmi</v>
      </c>
      <c r="I136" s="18" t="str">
        <f>IFERROR(INDEX('المناطق Regions'!$C$2:$C$15,MATCH(B136,'المناطق Regions'!$A$2:$A$15,0)),"")</f>
        <v>Riyadh</v>
      </c>
      <c r="J136" s="18" t="str">
        <f>F136&amp;", "&amp;E136&amp;", Saudi Arabia"</f>
        <v>المدرع, الدوادمى, Saudi Arabia</v>
      </c>
      <c r="K136" s="18">
        <v>24.49448</v>
      </c>
      <c r="L136" s="18">
        <v>43.618862</v>
      </c>
      <c r="M136" s="18">
        <v>2000</v>
      </c>
      <c r="N136" s="18" t="s">
        <v>642</v>
      </c>
    </row>
    <row r="137" ht="15" customHeight="1" spans="1:14" x14ac:dyDescent="0.25">
      <c r="A137" s="13" t="s">
        <v>834</v>
      </c>
      <c r="B137" s="13">
        <v>1</v>
      </c>
      <c r="C137" s="14" t="s">
        <v>44</v>
      </c>
      <c r="D137" s="13" t="s">
        <v>118</v>
      </c>
      <c r="E137" s="14" t="s">
        <v>119</v>
      </c>
      <c r="F137" s="14" t="s">
        <v>835</v>
      </c>
      <c r="G137" s="13" t="s">
        <v>149</v>
      </c>
      <c r="H137" s="18" t="str">
        <f>IFERROR(INDEX('المحافظات Governorates'!$E$2:$E$151,MATCH(D137,'المحافظات Governorates'!$A$2:$A$151,0)),"")</f>
        <v>Ad-Dawadmi</v>
      </c>
      <c r="I137" s="18" t="str">
        <f>IFERROR(INDEX('المناطق Regions'!$C$2:$C$15,MATCH(B137,'المناطق Regions'!$A$2:$A$15,0)),"")</f>
        <v>Riyadh</v>
      </c>
      <c r="J137" s="18" t="str">
        <f>F137&amp;", "&amp;E137&amp;", Saudi Arabia"</f>
        <v>المنجور, الدوادمى, Saudi Arabia</v>
      </c>
      <c r="K137" s="18">
        <v>25.236975</v>
      </c>
      <c r="L137" s="18">
        <v>44.471618</v>
      </c>
      <c r="M137" s="18">
        <v>2000</v>
      </c>
      <c r="N137" s="18" t="s">
        <v>642</v>
      </c>
    </row>
    <row r="138" ht="15" customHeight="1" spans="1:14" x14ac:dyDescent="0.25">
      <c r="A138" s="11" t="s">
        <v>836</v>
      </c>
      <c r="B138" s="11">
        <v>1</v>
      </c>
      <c r="C138" s="12" t="s">
        <v>44</v>
      </c>
      <c r="D138" s="11" t="s">
        <v>118</v>
      </c>
      <c r="E138" s="12" t="s">
        <v>119</v>
      </c>
      <c r="F138" s="12" t="s">
        <v>837</v>
      </c>
      <c r="G138" s="11" t="s">
        <v>149</v>
      </c>
      <c r="H138" s="18" t="str">
        <f>IFERROR(INDEX('المحافظات Governorates'!$E$2:$E$151,MATCH(D138,'المحافظات Governorates'!$A$2:$A$151,0)),"")</f>
        <v>Ad-Dawadmi</v>
      </c>
      <c r="I138" s="18" t="str">
        <f>IFERROR(INDEX('المناطق Regions'!$C$2:$C$15,MATCH(B138,'المناطق Regions'!$A$2:$A$15,0)),"")</f>
        <v>Riyadh</v>
      </c>
      <c r="J138" s="18" t="str">
        <f>F138&amp;", "&amp;E138&amp;", Saudi Arabia"</f>
        <v>الحفنه بالدوادمي, الدوادمى, Saudi Arabia</v>
      </c>
      <c r="K138" s="18">
        <v>24.646924</v>
      </c>
      <c r="L138" s="18">
        <v>44.158096</v>
      </c>
      <c r="M138" s="18">
        <v>150956</v>
      </c>
      <c r="N138" s="18" t="s">
        <v>681</v>
      </c>
    </row>
    <row r="139" ht="15" customHeight="1" spans="1:14" x14ac:dyDescent="0.25">
      <c r="A139" s="13" t="s">
        <v>838</v>
      </c>
      <c r="B139" s="13">
        <v>1</v>
      </c>
      <c r="C139" s="14" t="s">
        <v>44</v>
      </c>
      <c r="D139" s="13" t="s">
        <v>118</v>
      </c>
      <c r="E139" s="14" t="s">
        <v>119</v>
      </c>
      <c r="F139" s="14" t="s">
        <v>839</v>
      </c>
      <c r="G139" s="13" t="s">
        <v>149</v>
      </c>
      <c r="H139" s="18" t="str">
        <f>IFERROR(INDEX('المحافظات Governorates'!$E$2:$E$151,MATCH(D139,'المحافظات Governorates'!$A$2:$A$151,0)),"")</f>
        <v>Ad-Dawadmi</v>
      </c>
      <c r="I139" s="18" t="str">
        <f>IFERROR(INDEX('المناطق Regions'!$C$2:$C$15,MATCH(B139,'المناطق Regions'!$A$2:$A$15,0)),"")</f>
        <v>Riyadh</v>
      </c>
      <c r="J139" s="18" t="str">
        <f>F139&amp;", "&amp;E139&amp;", Saudi Arabia"</f>
        <v>الشاميه, الدوادمى, Saudi Arabia</v>
      </c>
      <c r="K139" s="18">
        <v>24.546118</v>
      </c>
      <c r="L139" s="18">
        <v>43.877251</v>
      </c>
      <c r="M139" s="18">
        <v>2000</v>
      </c>
      <c r="N139" s="18" t="s">
        <v>642</v>
      </c>
    </row>
    <row r="140" ht="15" customHeight="1" spans="1:14" x14ac:dyDescent="0.25">
      <c r="A140" s="11" t="s">
        <v>840</v>
      </c>
      <c r="B140" s="11">
        <v>1</v>
      </c>
      <c r="C140" s="12" t="s">
        <v>44</v>
      </c>
      <c r="D140" s="11" t="s">
        <v>118</v>
      </c>
      <c r="E140" s="12" t="s">
        <v>119</v>
      </c>
      <c r="F140" s="12" t="s">
        <v>841</v>
      </c>
      <c r="G140" s="11" t="s">
        <v>149</v>
      </c>
      <c r="H140" s="18" t="str">
        <f>IFERROR(INDEX('المحافظات Governorates'!$E$2:$E$151,MATCH(D140,'المحافظات Governorates'!$A$2:$A$151,0)),"")</f>
        <v>Ad-Dawadmi</v>
      </c>
      <c r="I140" s="18" t="str">
        <f>IFERROR(INDEX('المناطق Regions'!$C$2:$C$15,MATCH(B140,'المناطق Regions'!$A$2:$A$15,0)),"")</f>
        <v>Riyadh</v>
      </c>
      <c r="J140" s="18" t="str">
        <f>F140&amp;", "&amp;E140&amp;", Saudi Arabia"</f>
        <v>روضة عنز بنفي, الدوادمى, Saudi Arabia</v>
      </c>
      <c r="K140" s="18">
        <v>24.646924</v>
      </c>
      <c r="L140" s="18">
        <v>44.158096</v>
      </c>
      <c r="M140" s="18">
        <v>150956</v>
      </c>
      <c r="N140" s="18" t="s">
        <v>681</v>
      </c>
    </row>
    <row r="141" ht="15" customHeight="1" spans="1:14" x14ac:dyDescent="0.25">
      <c r="A141" s="13" t="s">
        <v>842</v>
      </c>
      <c r="B141" s="13">
        <v>1</v>
      </c>
      <c r="C141" s="14" t="s">
        <v>44</v>
      </c>
      <c r="D141" s="13" t="s">
        <v>118</v>
      </c>
      <c r="E141" s="14" t="s">
        <v>119</v>
      </c>
      <c r="F141" s="14" t="s">
        <v>843</v>
      </c>
      <c r="G141" s="13" t="s">
        <v>149</v>
      </c>
      <c r="H141" s="18" t="str">
        <f>IFERROR(INDEX('المحافظات Governorates'!$E$2:$E$151,MATCH(D141,'المحافظات Governorates'!$A$2:$A$151,0)),"")</f>
        <v>Ad-Dawadmi</v>
      </c>
      <c r="I141" s="18" t="str">
        <f>IFERROR(INDEX('المناطق Regions'!$C$2:$C$15,MATCH(B141,'المناطق Regions'!$A$2:$A$15,0)),"")</f>
        <v>Riyadh</v>
      </c>
      <c r="J141" s="18" t="str">
        <f>F141&amp;", "&amp;E141&amp;", Saudi Arabia"</f>
        <v>أم المناشير, الدوادمى, Saudi Arabia</v>
      </c>
      <c r="K141" s="18">
        <v>25.087345</v>
      </c>
      <c r="L141" s="18">
        <v>43.775949</v>
      </c>
      <c r="M141" s="18">
        <v>2000</v>
      </c>
      <c r="N141" s="18" t="s">
        <v>642</v>
      </c>
    </row>
    <row r="142" ht="15" customHeight="1" spans="1:14" x14ac:dyDescent="0.25">
      <c r="A142" s="11" t="s">
        <v>844</v>
      </c>
      <c r="B142" s="11">
        <v>1</v>
      </c>
      <c r="C142" s="12" t="s">
        <v>44</v>
      </c>
      <c r="D142" s="11" t="s">
        <v>118</v>
      </c>
      <c r="E142" s="12" t="s">
        <v>119</v>
      </c>
      <c r="F142" s="12" t="s">
        <v>845</v>
      </c>
      <c r="G142" s="11" t="s">
        <v>149</v>
      </c>
      <c r="H142" s="18" t="str">
        <f>IFERROR(INDEX('المحافظات Governorates'!$E$2:$E$151,MATCH(D142,'المحافظات Governorates'!$A$2:$A$151,0)),"")</f>
        <v>Ad-Dawadmi</v>
      </c>
      <c r="I142" s="18" t="str">
        <f>IFERROR(INDEX('المناطق Regions'!$C$2:$C$15,MATCH(B142,'المناطق Regions'!$A$2:$A$15,0)),"")</f>
        <v>Riyadh</v>
      </c>
      <c r="J142" s="18" t="str">
        <f>F142&amp;", "&amp;E142&amp;", Saudi Arabia"</f>
        <v>الفاخرية, الدوادمى, Saudi Arabia</v>
      </c>
      <c r="K142" s="18">
        <v>25.090559</v>
      </c>
      <c r="L142" s="18">
        <v>43.52957</v>
      </c>
      <c r="M142" s="18">
        <v>2000</v>
      </c>
      <c r="N142" s="18" t="s">
        <v>642</v>
      </c>
    </row>
    <row r="143" ht="15" customHeight="1" spans="1:14" x14ac:dyDescent="0.25">
      <c r="A143" s="13" t="s">
        <v>846</v>
      </c>
      <c r="B143" s="13">
        <v>1</v>
      </c>
      <c r="C143" s="14" t="s">
        <v>44</v>
      </c>
      <c r="D143" s="13" t="s">
        <v>118</v>
      </c>
      <c r="E143" s="14" t="s">
        <v>119</v>
      </c>
      <c r="F143" s="14" t="s">
        <v>847</v>
      </c>
      <c r="G143" s="13" t="s">
        <v>149</v>
      </c>
      <c r="H143" s="18" t="str">
        <f>IFERROR(INDEX('المحافظات Governorates'!$E$2:$E$151,MATCH(D143,'المحافظات Governorates'!$A$2:$A$151,0)),"")</f>
        <v>Ad-Dawadmi</v>
      </c>
      <c r="I143" s="18" t="str">
        <f>IFERROR(INDEX('المناطق Regions'!$C$2:$C$15,MATCH(B143,'المناطق Regions'!$A$2:$A$15,0)),"")</f>
        <v>Riyadh</v>
      </c>
      <c r="J143" s="18" t="str">
        <f>F143&amp;", "&amp;E143&amp;", Saudi Arabia"</f>
        <v>كبيشة, الدوادمى, Saudi Arabia</v>
      </c>
      <c r="K143" s="18">
        <v>24.694419</v>
      </c>
      <c r="L143" s="18">
        <v>43.201627</v>
      </c>
      <c r="M143" s="18">
        <v>2000</v>
      </c>
      <c r="N143" s="18" t="s">
        <v>642</v>
      </c>
    </row>
    <row r="144" ht="15" customHeight="1" spans="1:14" x14ac:dyDescent="0.25">
      <c r="A144" s="11" t="s">
        <v>848</v>
      </c>
      <c r="B144" s="11">
        <v>1</v>
      </c>
      <c r="C144" s="12" t="s">
        <v>44</v>
      </c>
      <c r="D144" s="11" t="s">
        <v>118</v>
      </c>
      <c r="E144" s="12" t="s">
        <v>119</v>
      </c>
      <c r="F144" s="12" t="s">
        <v>849</v>
      </c>
      <c r="G144" s="11" t="s">
        <v>149</v>
      </c>
      <c r="H144" s="18" t="str">
        <f>IFERROR(INDEX('المحافظات Governorates'!$E$2:$E$151,MATCH(D144,'المحافظات Governorates'!$A$2:$A$151,0)),"")</f>
        <v>Ad-Dawadmi</v>
      </c>
      <c r="I144" s="18" t="str">
        <f>IFERROR(INDEX('المناطق Regions'!$C$2:$C$15,MATCH(B144,'المناطق Regions'!$A$2:$A$15,0)),"")</f>
        <v>Riyadh</v>
      </c>
      <c r="J144" s="18" t="str">
        <f>F144&amp;", "&amp;E144&amp;", Saudi Arabia"</f>
        <v>فيضة سلام, الدوادمى, Saudi Arabia</v>
      </c>
      <c r="K144" s="18">
        <v>24.646924</v>
      </c>
      <c r="L144" s="18">
        <v>44.158096</v>
      </c>
      <c r="M144" s="18">
        <v>150956</v>
      </c>
      <c r="N144" s="18" t="s">
        <v>681</v>
      </c>
    </row>
    <row r="145" ht="15" customHeight="1" spans="1:14" x14ac:dyDescent="0.25">
      <c r="A145" s="13" t="s">
        <v>850</v>
      </c>
      <c r="B145" s="13">
        <v>1</v>
      </c>
      <c r="C145" s="14" t="s">
        <v>44</v>
      </c>
      <c r="D145" s="13" t="s">
        <v>122</v>
      </c>
      <c r="E145" s="14" t="s">
        <v>123</v>
      </c>
      <c r="F145" s="14" t="s">
        <v>851</v>
      </c>
      <c r="G145" s="13" t="s">
        <v>113</v>
      </c>
      <c r="H145" s="18" t="str">
        <f>IFERROR(INDEX('المحافظات Governorates'!$E$2:$E$151,MATCH(D145,'المحافظات Governorates'!$A$2:$A$151,0)),"")</f>
        <v>Al-Majma'ah</v>
      </c>
      <c r="I145" s="18" t="str">
        <f>IFERROR(INDEX('المناطق Regions'!$C$2:$C$15,MATCH(B145,'المناطق Regions'!$A$2:$A$15,0)),"")</f>
        <v>Riyadh</v>
      </c>
      <c r="J145" s="18" t="str">
        <f>F145&amp;", "&amp;E145&amp;", Saudi Arabia"</f>
        <v>حوطه سدير, المجمعه, Saudi Arabia</v>
      </c>
      <c r="K145" s="18">
        <v>25.597684</v>
      </c>
      <c r="L145" s="18">
        <v>45.617926</v>
      </c>
      <c r="M145" s="18">
        <v>2000</v>
      </c>
      <c r="N145" s="18" t="s">
        <v>562</v>
      </c>
    </row>
    <row r="146" ht="15" customHeight="1" spans="1:14" x14ac:dyDescent="0.25">
      <c r="A146" s="11" t="s">
        <v>852</v>
      </c>
      <c r="B146" s="11">
        <v>1</v>
      </c>
      <c r="C146" s="12" t="s">
        <v>44</v>
      </c>
      <c r="D146" s="11" t="s">
        <v>122</v>
      </c>
      <c r="E146" s="12" t="s">
        <v>123</v>
      </c>
      <c r="F146" s="12" t="s">
        <v>853</v>
      </c>
      <c r="G146" s="11" t="s">
        <v>113</v>
      </c>
      <c r="H146" s="18" t="str">
        <f>IFERROR(INDEX('المحافظات Governorates'!$E$2:$E$151,MATCH(D146,'المحافظات Governorates'!$A$2:$A$151,0)),"")</f>
        <v>Al-Majma'ah</v>
      </c>
      <c r="I146" s="18" t="str">
        <f>IFERROR(INDEX('المناطق Regions'!$C$2:$C$15,MATCH(B146,'المناطق Regions'!$A$2:$A$15,0)),"")</f>
        <v>Riyadh</v>
      </c>
      <c r="J146" s="18" t="str">
        <f>F146&amp;", "&amp;E146&amp;", Saudi Arabia"</f>
        <v>جلاجل, المجمعه, Saudi Arabia</v>
      </c>
      <c r="K146" s="18">
        <v>25.679849</v>
      </c>
      <c r="L146" s="18">
        <v>45.45154</v>
      </c>
      <c r="M146" s="18">
        <v>2000</v>
      </c>
      <c r="N146" s="18" t="s">
        <v>562</v>
      </c>
    </row>
    <row r="147" ht="15" customHeight="1" spans="1:14" x14ac:dyDescent="0.25">
      <c r="A147" s="13" t="s">
        <v>854</v>
      </c>
      <c r="B147" s="13">
        <v>1</v>
      </c>
      <c r="C147" s="14" t="s">
        <v>44</v>
      </c>
      <c r="D147" s="13" t="s">
        <v>122</v>
      </c>
      <c r="E147" s="14" t="s">
        <v>123</v>
      </c>
      <c r="F147" s="14" t="s">
        <v>855</v>
      </c>
      <c r="G147" s="13" t="s">
        <v>113</v>
      </c>
      <c r="H147" s="18" t="str">
        <f>IFERROR(INDEX('المحافظات Governorates'!$E$2:$E$151,MATCH(D147,'المحافظات Governorates'!$A$2:$A$151,0)),"")</f>
        <v>Al-Majma'ah</v>
      </c>
      <c r="I147" s="18" t="str">
        <f>IFERROR(INDEX('المناطق Regions'!$C$2:$C$15,MATCH(B147,'المناطق Regions'!$A$2:$A$15,0)),"")</f>
        <v>Riyadh</v>
      </c>
      <c r="J147" s="18" t="str">
        <f>F147&amp;", "&amp;E147&amp;", Saudi Arabia"</f>
        <v>روضه سدير, المجمعه, Saudi Arabia</v>
      </c>
      <c r="K147" s="18">
        <v>25.617451</v>
      </c>
      <c r="L147" s="18">
        <v>45.565428</v>
      </c>
      <c r="M147" s="18">
        <v>2000</v>
      </c>
      <c r="N147" s="18" t="s">
        <v>562</v>
      </c>
    </row>
    <row r="148" ht="15" customHeight="1" spans="1:14" x14ac:dyDescent="0.25">
      <c r="A148" s="11" t="s">
        <v>856</v>
      </c>
      <c r="B148" s="11">
        <v>1</v>
      </c>
      <c r="C148" s="12" t="s">
        <v>44</v>
      </c>
      <c r="D148" s="11" t="s">
        <v>122</v>
      </c>
      <c r="E148" s="12" t="s">
        <v>123</v>
      </c>
      <c r="F148" s="12" t="s">
        <v>857</v>
      </c>
      <c r="G148" s="11" t="s">
        <v>113</v>
      </c>
      <c r="H148" s="18" t="str">
        <f>IFERROR(INDEX('المحافظات Governorates'!$E$2:$E$151,MATCH(D148,'المحافظات Governorates'!$A$2:$A$151,0)),"")</f>
        <v>Al-Majma'ah</v>
      </c>
      <c r="I148" s="18" t="str">
        <f>IFERROR(INDEX('المناطق Regions'!$C$2:$C$15,MATCH(B148,'المناطق Regions'!$A$2:$A$15,0)),"")</f>
        <v>Riyadh</v>
      </c>
      <c r="J148" s="18" t="str">
        <f>F148&amp;", "&amp;E148&amp;", Saudi Arabia"</f>
        <v>الارطاويه, المجمعه, Saudi Arabia</v>
      </c>
      <c r="K148" s="18">
        <v>26.506329</v>
      </c>
      <c r="L148" s="18">
        <v>45.353878</v>
      </c>
      <c r="M148" s="18">
        <v>2000</v>
      </c>
      <c r="N148" s="18" t="s">
        <v>562</v>
      </c>
    </row>
    <row r="149" ht="15" customHeight="1" spans="1:14" x14ac:dyDescent="0.25">
      <c r="A149" s="13" t="s">
        <v>858</v>
      </c>
      <c r="B149" s="13">
        <v>1</v>
      </c>
      <c r="C149" s="14" t="s">
        <v>44</v>
      </c>
      <c r="D149" s="13" t="s">
        <v>122</v>
      </c>
      <c r="E149" s="14" t="s">
        <v>123</v>
      </c>
      <c r="F149" s="14" t="s">
        <v>859</v>
      </c>
      <c r="G149" s="13" t="s">
        <v>113</v>
      </c>
      <c r="H149" s="18" t="str">
        <f>IFERROR(INDEX('المحافظات Governorates'!$E$2:$E$151,MATCH(D149,'المحافظات Governorates'!$A$2:$A$151,0)),"")</f>
        <v>Al-Majma'ah</v>
      </c>
      <c r="I149" s="18" t="str">
        <f>IFERROR(INDEX('المناطق Regions'!$C$2:$C$15,MATCH(B149,'المناطق Regions'!$A$2:$A$15,0)),"")</f>
        <v>Riyadh</v>
      </c>
      <c r="J149" s="18" t="str">
        <f>F149&amp;", "&amp;E149&amp;", Saudi Arabia"</f>
        <v>تمير, المجمعه, Saudi Arabia</v>
      </c>
      <c r="K149" s="18">
        <v>25.704435</v>
      </c>
      <c r="L149" s="18">
        <v>45.867726</v>
      </c>
      <c r="M149" s="18">
        <v>2000</v>
      </c>
      <c r="N149" s="18" t="s">
        <v>562</v>
      </c>
    </row>
    <row r="150" ht="15" customHeight="1" spans="1:14" x14ac:dyDescent="0.25">
      <c r="A150" s="11" t="s">
        <v>860</v>
      </c>
      <c r="B150" s="11">
        <v>1</v>
      </c>
      <c r="C150" s="12" t="s">
        <v>44</v>
      </c>
      <c r="D150" s="11" t="s">
        <v>122</v>
      </c>
      <c r="E150" s="12" t="s">
        <v>123</v>
      </c>
      <c r="F150" s="12" t="s">
        <v>861</v>
      </c>
      <c r="G150" s="11" t="s">
        <v>113</v>
      </c>
      <c r="H150" s="18" t="str">
        <f>IFERROR(INDEX('المحافظات Governorates'!$E$2:$E$151,MATCH(D150,'المحافظات Governorates'!$A$2:$A$151,0)),"")</f>
        <v>Al-Majma'ah</v>
      </c>
      <c r="I150" s="18" t="str">
        <f>IFERROR(INDEX('المناطق Regions'!$C$2:$C$15,MATCH(B150,'المناطق Regions'!$A$2:$A$15,0)),"")</f>
        <v>Riyadh</v>
      </c>
      <c r="J150" s="18" t="str">
        <f>F150&amp;", "&amp;E150&amp;", Saudi Arabia"</f>
        <v>حرمه, المجمعه, Saudi Arabia</v>
      </c>
      <c r="K150" s="18">
        <v>25.924621</v>
      </c>
      <c r="L150" s="18">
        <v>45.331817</v>
      </c>
      <c r="M150" s="18">
        <v>2000</v>
      </c>
      <c r="N150" s="18" t="s">
        <v>562</v>
      </c>
    </row>
    <row r="151" ht="15" customHeight="1" spans="1:14" x14ac:dyDescent="0.25">
      <c r="A151" s="13" t="s">
        <v>862</v>
      </c>
      <c r="B151" s="13">
        <v>1</v>
      </c>
      <c r="C151" s="14" t="s">
        <v>44</v>
      </c>
      <c r="D151" s="13" t="s">
        <v>122</v>
      </c>
      <c r="E151" s="14" t="s">
        <v>123</v>
      </c>
      <c r="F151" s="14" t="s">
        <v>863</v>
      </c>
      <c r="G151" s="13" t="s">
        <v>113</v>
      </c>
      <c r="H151" s="18" t="str">
        <f>IFERROR(INDEX('المحافظات Governorates'!$E$2:$E$151,MATCH(D151,'المحافظات Governorates'!$A$2:$A$151,0)),"")</f>
        <v>Al-Majma'ah</v>
      </c>
      <c r="I151" s="18" t="str">
        <f>IFERROR(INDEX('المناطق Regions'!$C$2:$C$15,MATCH(B151,'المناطق Regions'!$A$2:$A$15,0)),"")</f>
        <v>Riyadh</v>
      </c>
      <c r="J151" s="18" t="str">
        <f>F151&amp;", "&amp;E151&amp;", Saudi Arabia"</f>
        <v>الفروثى, المجمعه, Saudi Arabia</v>
      </c>
      <c r="K151" s="18">
        <v>25.776046</v>
      </c>
      <c r="L151" s="18">
        <v>45.16101</v>
      </c>
      <c r="M151" s="18">
        <v>2000</v>
      </c>
      <c r="N151" s="18" t="s">
        <v>562</v>
      </c>
    </row>
    <row r="152" ht="15" customHeight="1" spans="1:14" x14ac:dyDescent="0.25">
      <c r="A152" s="11" t="s">
        <v>864</v>
      </c>
      <c r="B152" s="11">
        <v>1</v>
      </c>
      <c r="C152" s="12" t="s">
        <v>44</v>
      </c>
      <c r="D152" s="11" t="s">
        <v>122</v>
      </c>
      <c r="E152" s="12" t="s">
        <v>123</v>
      </c>
      <c r="F152" s="12" t="s">
        <v>865</v>
      </c>
      <c r="G152" s="11" t="s">
        <v>113</v>
      </c>
      <c r="H152" s="18" t="str">
        <f>IFERROR(INDEX('المحافظات Governorates'!$E$2:$E$151,MATCH(D152,'المحافظات Governorates'!$A$2:$A$151,0)),"")</f>
        <v>Al-Majma'ah</v>
      </c>
      <c r="I152" s="18" t="str">
        <f>IFERROR(INDEX('المناطق Regions'!$C$2:$C$15,MATCH(B152,'المناطق Regions'!$A$2:$A$15,0)),"")</f>
        <v>Riyadh</v>
      </c>
      <c r="J152" s="18" t="str">
        <f>F152&amp;", "&amp;E152&amp;", Saudi Arabia"</f>
        <v>جراب, المجمعه, Saudi Arabia</v>
      </c>
      <c r="K152" s="18">
        <v>26.766034</v>
      </c>
      <c r="L152" s="18">
        <v>44.993146</v>
      </c>
      <c r="M152" s="18">
        <v>2000</v>
      </c>
      <c r="N152" s="18" t="s">
        <v>562</v>
      </c>
    </row>
    <row r="153" ht="15" customHeight="1" spans="1:14" x14ac:dyDescent="0.25">
      <c r="A153" s="13" t="s">
        <v>866</v>
      </c>
      <c r="B153" s="13">
        <v>1</v>
      </c>
      <c r="C153" s="14" t="s">
        <v>44</v>
      </c>
      <c r="D153" s="13" t="s">
        <v>122</v>
      </c>
      <c r="E153" s="14" t="s">
        <v>123</v>
      </c>
      <c r="F153" s="14" t="s">
        <v>867</v>
      </c>
      <c r="G153" s="13" t="s">
        <v>113</v>
      </c>
      <c r="H153" s="18" t="str">
        <f>IFERROR(INDEX('المحافظات Governorates'!$E$2:$E$151,MATCH(D153,'المحافظات Governorates'!$A$2:$A$151,0)),"")</f>
        <v>Al-Majma'ah</v>
      </c>
      <c r="I153" s="18" t="str">
        <f>IFERROR(INDEX('المناطق Regions'!$C$2:$C$15,MATCH(B153,'المناطق Regions'!$A$2:$A$15,0)),"")</f>
        <v>Riyadh</v>
      </c>
      <c r="J153" s="18" t="str">
        <f>F153&amp;", "&amp;E153&amp;", Saudi Arabia"</f>
        <v>ام الجماجم, المجمعه, Saudi Arabia</v>
      </c>
      <c r="K153" s="18">
        <v>26.883856</v>
      </c>
      <c r="L153" s="18">
        <v>45.318362</v>
      </c>
      <c r="M153" s="18">
        <v>2000</v>
      </c>
      <c r="N153" s="18" t="s">
        <v>562</v>
      </c>
    </row>
    <row r="154" ht="15" customHeight="1" spans="1:14" x14ac:dyDescent="0.25">
      <c r="A154" s="11" t="s">
        <v>868</v>
      </c>
      <c r="B154" s="11">
        <v>1</v>
      </c>
      <c r="C154" s="12" t="s">
        <v>44</v>
      </c>
      <c r="D154" s="11" t="s">
        <v>122</v>
      </c>
      <c r="E154" s="12" t="s">
        <v>123</v>
      </c>
      <c r="F154" s="12" t="s">
        <v>869</v>
      </c>
      <c r="G154" s="11" t="s">
        <v>113</v>
      </c>
      <c r="H154" s="18" t="str">
        <f>IFERROR(INDEX('المحافظات Governorates'!$E$2:$E$151,MATCH(D154,'المحافظات Governorates'!$A$2:$A$151,0)),"")</f>
        <v>Al-Majma'ah</v>
      </c>
      <c r="I154" s="18" t="str">
        <f>IFERROR(INDEX('المناطق Regions'!$C$2:$C$15,MATCH(B154,'المناطق Regions'!$A$2:$A$15,0)),"")</f>
        <v>Riyadh</v>
      </c>
      <c r="J154" s="18" t="str">
        <f>F154&amp;", "&amp;E154&amp;", Saudi Arabia"</f>
        <v>القاعيه بسدير, المجمعه, Saudi Arabia</v>
      </c>
      <c r="K154" s="18">
        <v>26.408532</v>
      </c>
      <c r="L154" s="18">
        <v>45.632931</v>
      </c>
      <c r="M154" s="18">
        <v>157073</v>
      </c>
      <c r="N154" s="18" t="s">
        <v>870</v>
      </c>
    </row>
    <row r="155" ht="15" customHeight="1" spans="1:14" x14ac:dyDescent="0.25">
      <c r="A155" s="13" t="s">
        <v>871</v>
      </c>
      <c r="B155" s="13">
        <v>1</v>
      </c>
      <c r="C155" s="14" t="s">
        <v>44</v>
      </c>
      <c r="D155" s="13" t="s">
        <v>122</v>
      </c>
      <c r="E155" s="14" t="s">
        <v>123</v>
      </c>
      <c r="F155" s="14" t="s">
        <v>872</v>
      </c>
      <c r="G155" s="13" t="s">
        <v>113</v>
      </c>
      <c r="H155" s="18" t="str">
        <f>IFERROR(INDEX('المحافظات Governorates'!$E$2:$E$151,MATCH(D155,'المحافظات Governorates'!$A$2:$A$151,0)),"")</f>
        <v>Al-Majma'ah</v>
      </c>
      <c r="I155" s="18" t="str">
        <f>IFERROR(INDEX('المناطق Regions'!$C$2:$C$15,MATCH(B155,'المناطق Regions'!$A$2:$A$15,0)),"")</f>
        <v>Riyadh</v>
      </c>
      <c r="J155" s="18" t="str">
        <f>F155&amp;", "&amp;E155&amp;", Saudi Arabia"</f>
        <v>ام رجوم, المجمعه, Saudi Arabia</v>
      </c>
      <c r="K155" s="18">
        <v>26.150266</v>
      </c>
      <c r="L155" s="18">
        <v>46.160126</v>
      </c>
      <c r="M155" s="18">
        <v>2000</v>
      </c>
      <c r="N155" s="18" t="s">
        <v>562</v>
      </c>
    </row>
    <row r="156" ht="15" customHeight="1" spans="1:14" x14ac:dyDescent="0.25">
      <c r="A156" s="11" t="s">
        <v>873</v>
      </c>
      <c r="B156" s="11">
        <v>1</v>
      </c>
      <c r="C156" s="12" t="s">
        <v>44</v>
      </c>
      <c r="D156" s="11" t="s">
        <v>122</v>
      </c>
      <c r="E156" s="12" t="s">
        <v>123</v>
      </c>
      <c r="F156" s="12" t="s">
        <v>874</v>
      </c>
      <c r="G156" s="11" t="s">
        <v>113</v>
      </c>
      <c r="H156" s="18" t="str">
        <f>IFERROR(INDEX('المحافظات Governorates'!$E$2:$E$151,MATCH(D156,'المحافظات Governorates'!$A$2:$A$151,0)),"")</f>
        <v>Al-Majma'ah</v>
      </c>
      <c r="I156" s="18" t="str">
        <f>IFERROR(INDEX('المناطق Regions'!$C$2:$C$15,MATCH(B156,'المناطق Regions'!$A$2:$A$15,0)),"")</f>
        <v>Riyadh</v>
      </c>
      <c r="J156" s="18" t="str">
        <f>F156&amp;", "&amp;E156&amp;", Saudi Arabia"</f>
        <v>عوده سدير, المجمعه, Saudi Arabia</v>
      </c>
      <c r="K156" s="18">
        <v>25.554006</v>
      </c>
      <c r="L156" s="18">
        <v>45.688149</v>
      </c>
      <c r="M156" s="18">
        <v>2000</v>
      </c>
      <c r="N156" s="18" t="s">
        <v>562</v>
      </c>
    </row>
    <row r="157" ht="15" customHeight="1" spans="1:14" x14ac:dyDescent="0.25">
      <c r="A157" s="13" t="s">
        <v>875</v>
      </c>
      <c r="B157" s="13">
        <v>1</v>
      </c>
      <c r="C157" s="14" t="s">
        <v>44</v>
      </c>
      <c r="D157" s="13" t="s">
        <v>122</v>
      </c>
      <c r="E157" s="14" t="s">
        <v>123</v>
      </c>
      <c r="F157" s="14" t="s">
        <v>876</v>
      </c>
      <c r="G157" s="13" t="s">
        <v>113</v>
      </c>
      <c r="H157" s="18" t="str">
        <f>IFERROR(INDEX('المحافظات Governorates'!$E$2:$E$151,MATCH(D157,'المحافظات Governorates'!$A$2:$A$151,0)),"")</f>
        <v>Al-Majma'ah</v>
      </c>
      <c r="I157" s="18" t="str">
        <f>IFERROR(INDEX('المناطق Regions'!$C$2:$C$15,MATCH(B157,'المناطق Regions'!$A$2:$A$15,0)),"")</f>
        <v>Riyadh</v>
      </c>
      <c r="J157" s="18" t="str">
        <f>F157&amp;", "&amp;E157&amp;", Saudi Arabia"</f>
        <v>مشاش عوض, المجمعه, Saudi Arabia</v>
      </c>
      <c r="K157" s="18">
        <v>26.41854</v>
      </c>
      <c r="L157" s="18">
        <v>45.168457</v>
      </c>
      <c r="M157" s="18">
        <v>2000</v>
      </c>
      <c r="N157" s="18" t="s">
        <v>562</v>
      </c>
    </row>
    <row r="158" ht="15" customHeight="1" spans="1:14" x14ac:dyDescent="0.25">
      <c r="A158" s="11" t="s">
        <v>877</v>
      </c>
      <c r="B158" s="11">
        <v>1</v>
      </c>
      <c r="C158" s="12" t="s">
        <v>44</v>
      </c>
      <c r="D158" s="11" t="s">
        <v>122</v>
      </c>
      <c r="E158" s="12" t="s">
        <v>123</v>
      </c>
      <c r="F158" s="12" t="s">
        <v>878</v>
      </c>
      <c r="G158" s="11" t="s">
        <v>149</v>
      </c>
      <c r="H158" s="18" t="str">
        <f>IFERROR(INDEX('المحافظات Governorates'!$E$2:$E$151,MATCH(D158,'المحافظات Governorates'!$A$2:$A$151,0)),"")</f>
        <v>Al-Majma'ah</v>
      </c>
      <c r="I158" s="18" t="str">
        <f>IFERROR(INDEX('المناطق Regions'!$C$2:$C$15,MATCH(B158,'المناطق Regions'!$A$2:$A$15,0)),"")</f>
        <v>Riyadh</v>
      </c>
      <c r="J158" s="18" t="str">
        <f>F158&amp;", "&amp;E158&amp;", Saudi Arabia"</f>
        <v>العطار, المجمعه, Saudi Arabia</v>
      </c>
      <c r="K158" s="18">
        <v>25.567885</v>
      </c>
      <c r="L158" s="18">
        <v>45.639061</v>
      </c>
      <c r="M158" s="18">
        <v>2000</v>
      </c>
      <c r="N158" s="18" t="s">
        <v>562</v>
      </c>
    </row>
    <row r="159" ht="15" customHeight="1" spans="1:14" x14ac:dyDescent="0.25">
      <c r="A159" s="13" t="s">
        <v>879</v>
      </c>
      <c r="B159" s="13">
        <v>1</v>
      </c>
      <c r="C159" s="14" t="s">
        <v>44</v>
      </c>
      <c r="D159" s="13" t="s">
        <v>122</v>
      </c>
      <c r="E159" s="14" t="s">
        <v>123</v>
      </c>
      <c r="F159" s="14" t="s">
        <v>880</v>
      </c>
      <c r="G159" s="13" t="s">
        <v>149</v>
      </c>
      <c r="H159" s="18" t="str">
        <f>IFERROR(INDEX('المحافظات Governorates'!$E$2:$E$151,MATCH(D159,'المحافظات Governorates'!$A$2:$A$151,0)),"")</f>
        <v>Al-Majma'ah</v>
      </c>
      <c r="I159" s="18" t="str">
        <f>IFERROR(INDEX('المناطق Regions'!$C$2:$C$15,MATCH(B159,'المناطق Regions'!$A$2:$A$15,0)),"")</f>
        <v>Riyadh</v>
      </c>
      <c r="J159" s="18" t="str">
        <f>F159&amp;", "&amp;E159&amp;", Saudi Arabia"</f>
        <v>الجنوبية بسدير, المجمعه, Saudi Arabia</v>
      </c>
      <c r="K159" s="18">
        <v>26.408532</v>
      </c>
      <c r="L159" s="18">
        <v>45.632931</v>
      </c>
      <c r="M159" s="18">
        <v>157073</v>
      </c>
      <c r="N159" s="18" t="s">
        <v>870</v>
      </c>
    </row>
    <row r="160" ht="15" customHeight="1" spans="1:14" x14ac:dyDescent="0.25">
      <c r="A160" s="11" t="s">
        <v>881</v>
      </c>
      <c r="B160" s="11">
        <v>1</v>
      </c>
      <c r="C160" s="12" t="s">
        <v>44</v>
      </c>
      <c r="D160" s="11" t="s">
        <v>122</v>
      </c>
      <c r="E160" s="12" t="s">
        <v>123</v>
      </c>
      <c r="F160" s="12" t="s">
        <v>882</v>
      </c>
      <c r="G160" s="11" t="s">
        <v>113</v>
      </c>
      <c r="H160" s="18" t="str">
        <f>IFERROR(INDEX('المحافظات Governorates'!$E$2:$E$151,MATCH(D160,'المحافظات Governorates'!$A$2:$A$151,0)),"")</f>
        <v>Al-Majma'ah</v>
      </c>
      <c r="I160" s="18" t="str">
        <f>IFERROR(INDEX('المناطق Regions'!$C$2:$C$15,MATCH(B160,'المناطق Regions'!$A$2:$A$15,0)),"")</f>
        <v>Riyadh</v>
      </c>
      <c r="J160" s="18" t="str">
        <f>F160&amp;", "&amp;E160&amp;", Saudi Arabia"</f>
        <v>عشيرة سدير, المجمعه, Saudi Arabia</v>
      </c>
      <c r="K160" s="18">
        <v>26.408532</v>
      </c>
      <c r="L160" s="18">
        <v>45.632931</v>
      </c>
      <c r="M160" s="18">
        <v>157073</v>
      </c>
      <c r="N160" s="18" t="s">
        <v>870</v>
      </c>
    </row>
    <row r="161" ht="15" customHeight="1" spans="1:14" x14ac:dyDescent="0.25">
      <c r="A161" s="13" t="s">
        <v>883</v>
      </c>
      <c r="B161" s="13">
        <v>1</v>
      </c>
      <c r="C161" s="14" t="s">
        <v>44</v>
      </c>
      <c r="D161" s="13" t="s">
        <v>122</v>
      </c>
      <c r="E161" s="14" t="s">
        <v>123</v>
      </c>
      <c r="F161" s="14" t="s">
        <v>884</v>
      </c>
      <c r="G161" s="13" t="s">
        <v>113</v>
      </c>
      <c r="H161" s="18" t="str">
        <f>IFERROR(INDEX('المحافظات Governorates'!$E$2:$E$151,MATCH(D161,'المحافظات Governorates'!$A$2:$A$151,0)),"")</f>
        <v>Al-Majma'ah</v>
      </c>
      <c r="I161" s="18" t="str">
        <f>IFERROR(INDEX('المناطق Regions'!$C$2:$C$15,MATCH(B161,'المناطق Regions'!$A$2:$A$15,0)),"")</f>
        <v>Riyadh</v>
      </c>
      <c r="J161" s="18" t="str">
        <f>F161&amp;", "&amp;E161&amp;", Saudi Arabia"</f>
        <v>التويم, المجمعه, Saudi Arabia</v>
      </c>
      <c r="K161" s="18">
        <v>25.661565</v>
      </c>
      <c r="L161" s="18">
        <v>45.539741</v>
      </c>
      <c r="M161" s="18">
        <v>2000</v>
      </c>
      <c r="N161" s="18" t="s">
        <v>562</v>
      </c>
    </row>
    <row r="162" ht="15" customHeight="1" spans="1:14" x14ac:dyDescent="0.25">
      <c r="A162" s="11" t="s">
        <v>885</v>
      </c>
      <c r="B162" s="11">
        <v>1</v>
      </c>
      <c r="C162" s="12" t="s">
        <v>44</v>
      </c>
      <c r="D162" s="11" t="s">
        <v>122</v>
      </c>
      <c r="E162" s="12" t="s">
        <v>123</v>
      </c>
      <c r="F162" s="12" t="s">
        <v>886</v>
      </c>
      <c r="G162" s="11" t="s">
        <v>149</v>
      </c>
      <c r="H162" s="18" t="str">
        <f>IFERROR(INDEX('المحافظات Governorates'!$E$2:$E$151,MATCH(D162,'المحافظات Governorates'!$A$2:$A$151,0)),"")</f>
        <v>Al-Majma'ah</v>
      </c>
      <c r="I162" s="18" t="str">
        <f>IFERROR(INDEX('المناطق Regions'!$C$2:$C$15,MATCH(B162,'المناطق Regions'!$A$2:$A$15,0)),"")</f>
        <v>Riyadh</v>
      </c>
      <c r="J162" s="18" t="str">
        <f>F162&amp;", "&amp;E162&amp;", Saudi Arabia"</f>
        <v>الخيس, المجمعه, Saudi Arabia</v>
      </c>
      <c r="K162" s="18">
        <v>25.873109</v>
      </c>
      <c r="L162" s="18">
        <v>45.107546</v>
      </c>
      <c r="M162" s="18">
        <v>2000</v>
      </c>
      <c r="N162" s="18" t="s">
        <v>562</v>
      </c>
    </row>
    <row r="163" ht="15" customHeight="1" spans="1:14" x14ac:dyDescent="0.25">
      <c r="A163" s="13" t="s">
        <v>887</v>
      </c>
      <c r="B163" s="13">
        <v>1</v>
      </c>
      <c r="C163" s="14" t="s">
        <v>44</v>
      </c>
      <c r="D163" s="13" t="s">
        <v>122</v>
      </c>
      <c r="E163" s="14" t="s">
        <v>123</v>
      </c>
      <c r="F163" s="14" t="s">
        <v>888</v>
      </c>
      <c r="G163" s="13" t="s">
        <v>149</v>
      </c>
      <c r="H163" s="18" t="str">
        <f>IFERROR(INDEX('المحافظات Governorates'!$E$2:$E$151,MATCH(D163,'المحافظات Governorates'!$A$2:$A$151,0)),"")</f>
        <v>Al-Majma'ah</v>
      </c>
      <c r="I163" s="18" t="str">
        <f>IFERROR(INDEX('المناطق Regions'!$C$2:$C$15,MATCH(B163,'المناطق Regions'!$A$2:$A$15,0)),"")</f>
        <v>Riyadh</v>
      </c>
      <c r="J163" s="18" t="str">
        <f>F163&amp;", "&amp;E163&amp;", Saudi Arabia"</f>
        <v>الحصون, المجمعه, Saudi Arabia</v>
      </c>
      <c r="K163" s="18">
        <v>25.597142</v>
      </c>
      <c r="L163" s="18">
        <v>45.606196</v>
      </c>
      <c r="M163" s="18">
        <v>2000</v>
      </c>
      <c r="N163" s="18" t="s">
        <v>562</v>
      </c>
    </row>
    <row r="164" ht="15" customHeight="1" spans="1:14" x14ac:dyDescent="0.25">
      <c r="A164" s="11" t="s">
        <v>889</v>
      </c>
      <c r="B164" s="11">
        <v>1</v>
      </c>
      <c r="C164" s="12" t="s">
        <v>44</v>
      </c>
      <c r="D164" s="11" t="s">
        <v>122</v>
      </c>
      <c r="E164" s="12" t="s">
        <v>123</v>
      </c>
      <c r="F164" s="12" t="s">
        <v>890</v>
      </c>
      <c r="G164" s="11" t="s">
        <v>149</v>
      </c>
      <c r="H164" s="18" t="str">
        <f>IFERROR(INDEX('المحافظات Governorates'!$E$2:$E$151,MATCH(D164,'المحافظات Governorates'!$A$2:$A$151,0)),"")</f>
        <v>Al-Majma'ah</v>
      </c>
      <c r="I164" s="18" t="str">
        <f>IFERROR(INDEX('المناطق Regions'!$C$2:$C$15,MATCH(B164,'المناطق Regions'!$A$2:$A$15,0)),"")</f>
        <v>Riyadh</v>
      </c>
      <c r="J164" s="18" t="str">
        <f>F164&amp;", "&amp;E164&amp;", Saudi Arabia"</f>
        <v>العمار بسدير, المجمعه, Saudi Arabia</v>
      </c>
      <c r="K164" s="18">
        <v>26.408532</v>
      </c>
      <c r="L164" s="18">
        <v>45.632931</v>
      </c>
      <c r="M164" s="18">
        <v>157073</v>
      </c>
      <c r="N164" s="18" t="s">
        <v>870</v>
      </c>
    </row>
    <row r="165" ht="15" customHeight="1" spans="1:14" x14ac:dyDescent="0.25">
      <c r="A165" s="13" t="s">
        <v>891</v>
      </c>
      <c r="B165" s="13">
        <v>1</v>
      </c>
      <c r="C165" s="14" t="s">
        <v>44</v>
      </c>
      <c r="D165" s="13" t="s">
        <v>122</v>
      </c>
      <c r="E165" s="14" t="s">
        <v>123</v>
      </c>
      <c r="F165" s="14" t="s">
        <v>892</v>
      </c>
      <c r="G165" s="13" t="s">
        <v>149</v>
      </c>
      <c r="H165" s="18" t="str">
        <f>IFERROR(INDEX('المحافظات Governorates'!$E$2:$E$151,MATCH(D165,'المحافظات Governorates'!$A$2:$A$151,0)),"")</f>
        <v>Al-Majma'ah</v>
      </c>
      <c r="I165" s="18" t="str">
        <f>IFERROR(INDEX('المناطق Regions'!$C$2:$C$15,MATCH(B165,'المناطق Regions'!$A$2:$A$15,0)),"")</f>
        <v>Riyadh</v>
      </c>
      <c r="J165" s="18" t="str">
        <f>F165&amp;", "&amp;E165&amp;", Saudi Arabia"</f>
        <v>الرويضه بسدير, المجمعه, Saudi Arabia</v>
      </c>
      <c r="K165" s="18">
        <v>26.408532</v>
      </c>
      <c r="L165" s="18">
        <v>45.632931</v>
      </c>
      <c r="M165" s="18">
        <v>157073</v>
      </c>
      <c r="N165" s="18" t="s">
        <v>870</v>
      </c>
    </row>
    <row r="166" ht="15" customHeight="1" spans="1:14" x14ac:dyDescent="0.25">
      <c r="A166" s="11" t="s">
        <v>893</v>
      </c>
      <c r="B166" s="11">
        <v>1</v>
      </c>
      <c r="C166" s="12" t="s">
        <v>44</v>
      </c>
      <c r="D166" s="11" t="s">
        <v>122</v>
      </c>
      <c r="E166" s="12" t="s">
        <v>123</v>
      </c>
      <c r="F166" s="12" t="s">
        <v>894</v>
      </c>
      <c r="G166" s="11" t="s">
        <v>149</v>
      </c>
      <c r="H166" s="18" t="str">
        <f>IFERROR(INDEX('المحافظات Governorates'!$E$2:$E$151,MATCH(D166,'المحافظات Governorates'!$A$2:$A$151,0)),"")</f>
        <v>Al-Majma'ah</v>
      </c>
      <c r="I166" s="18" t="str">
        <f>IFERROR(INDEX('المناطق Regions'!$C$2:$C$15,MATCH(B166,'المناطق Regions'!$A$2:$A$15,0)),"")</f>
        <v>Riyadh</v>
      </c>
      <c r="J166" s="18" t="str">
        <f>F166&amp;", "&amp;E166&amp;", Saudi Arabia"</f>
        <v>الداخله, المجمعه, Saudi Arabia</v>
      </c>
      <c r="K166" s="18">
        <v>25.624149</v>
      </c>
      <c r="L166" s="18">
        <v>45.569606</v>
      </c>
      <c r="M166" s="18">
        <v>2000</v>
      </c>
      <c r="N166" s="18" t="s">
        <v>562</v>
      </c>
    </row>
    <row r="167" ht="15" customHeight="1" spans="1:14" x14ac:dyDescent="0.25">
      <c r="A167" s="13" t="s">
        <v>895</v>
      </c>
      <c r="B167" s="13">
        <v>1</v>
      </c>
      <c r="C167" s="14" t="s">
        <v>44</v>
      </c>
      <c r="D167" s="13" t="s">
        <v>122</v>
      </c>
      <c r="E167" s="14" t="s">
        <v>123</v>
      </c>
      <c r="F167" s="14" t="s">
        <v>896</v>
      </c>
      <c r="G167" s="13" t="s">
        <v>149</v>
      </c>
      <c r="H167" s="18" t="str">
        <f>IFERROR(INDEX('المحافظات Governorates'!$E$2:$E$151,MATCH(D167,'المحافظات Governorates'!$A$2:$A$151,0)),"")</f>
        <v>Al-Majma'ah</v>
      </c>
      <c r="I167" s="18" t="str">
        <f>IFERROR(INDEX('المناطق Regions'!$C$2:$C$15,MATCH(B167,'المناطق Regions'!$A$2:$A$15,0)),"")</f>
        <v>Riyadh</v>
      </c>
      <c r="J167" s="18" t="str">
        <f>F167&amp;", "&amp;E167&amp;", Saudi Arabia"</f>
        <v>الخطامه, المجمعه, Saudi Arabia</v>
      </c>
      <c r="K167" s="18">
        <v>25.618229</v>
      </c>
      <c r="L167" s="18">
        <v>45.692992</v>
      </c>
      <c r="M167" s="18">
        <v>2000</v>
      </c>
      <c r="N167" s="18" t="s">
        <v>562</v>
      </c>
    </row>
    <row r="168" ht="15" customHeight="1" spans="1:14" x14ac:dyDescent="0.25">
      <c r="A168" s="11" t="s">
        <v>897</v>
      </c>
      <c r="B168" s="11">
        <v>1</v>
      </c>
      <c r="C168" s="12" t="s">
        <v>44</v>
      </c>
      <c r="D168" s="11" t="s">
        <v>122</v>
      </c>
      <c r="E168" s="12" t="s">
        <v>123</v>
      </c>
      <c r="F168" s="12" t="s">
        <v>898</v>
      </c>
      <c r="G168" s="11" t="s">
        <v>113</v>
      </c>
      <c r="H168" s="18" t="str">
        <f>IFERROR(INDEX('المحافظات Governorates'!$E$2:$E$151,MATCH(D168,'المحافظات Governorates'!$A$2:$A$151,0)),"")</f>
        <v>Al-Majma'ah</v>
      </c>
      <c r="I168" s="18" t="str">
        <f>IFERROR(INDEX('المناطق Regions'!$C$2:$C$15,MATCH(B168,'المناطق Regions'!$A$2:$A$15,0)),"")</f>
        <v>Riyadh</v>
      </c>
      <c r="J168" s="18" t="str">
        <f>F168&amp;", "&amp;E168&amp;", Saudi Arabia"</f>
        <v>مبايض, المجمعه, Saudi Arabia</v>
      </c>
      <c r="K168" s="18">
        <v>25.826506</v>
      </c>
      <c r="L168" s="18">
        <v>45.805381</v>
      </c>
      <c r="M168" s="18">
        <v>2000</v>
      </c>
      <c r="N168" s="18" t="s">
        <v>562</v>
      </c>
    </row>
    <row r="169" ht="15" customHeight="1" spans="1:14" x14ac:dyDescent="0.25">
      <c r="A169" s="13" t="s">
        <v>899</v>
      </c>
      <c r="B169" s="13">
        <v>1</v>
      </c>
      <c r="C169" s="14" t="s">
        <v>44</v>
      </c>
      <c r="D169" s="13" t="s">
        <v>122</v>
      </c>
      <c r="E169" s="14" t="s">
        <v>123</v>
      </c>
      <c r="F169" s="14" t="s">
        <v>900</v>
      </c>
      <c r="G169" s="13" t="s">
        <v>149</v>
      </c>
      <c r="H169" s="18" t="str">
        <f>IFERROR(INDEX('المحافظات Governorates'!$E$2:$E$151,MATCH(D169,'المحافظات Governorates'!$A$2:$A$151,0)),"")</f>
        <v>Al-Majma'ah</v>
      </c>
      <c r="I169" s="18" t="str">
        <f>IFERROR(INDEX('المناطق Regions'!$C$2:$C$15,MATCH(B169,'المناطق Regions'!$A$2:$A$15,0)),"")</f>
        <v>Riyadh</v>
      </c>
      <c r="J169" s="18" t="str">
        <f>F169&amp;", "&amp;E169&amp;", Saudi Arabia"</f>
        <v>الجنيفى, المجمعه, Saudi Arabia</v>
      </c>
      <c r="K169" s="18">
        <v>25.57537</v>
      </c>
      <c r="L169" s="18">
        <v>45.641362</v>
      </c>
      <c r="M169" s="18">
        <v>2000</v>
      </c>
      <c r="N169" s="18" t="s">
        <v>562</v>
      </c>
    </row>
    <row r="170" ht="15" customHeight="1" spans="1:14" x14ac:dyDescent="0.25">
      <c r="A170" s="11" t="s">
        <v>901</v>
      </c>
      <c r="B170" s="11">
        <v>1</v>
      </c>
      <c r="C170" s="12" t="s">
        <v>44</v>
      </c>
      <c r="D170" s="11" t="s">
        <v>122</v>
      </c>
      <c r="E170" s="12" t="s">
        <v>123</v>
      </c>
      <c r="F170" s="12" t="s">
        <v>902</v>
      </c>
      <c r="G170" s="11" t="s">
        <v>149</v>
      </c>
      <c r="H170" s="18" t="str">
        <f>IFERROR(INDEX('المحافظات Governorates'!$E$2:$E$151,MATCH(D170,'المحافظات Governorates'!$A$2:$A$151,0)),"")</f>
        <v>Al-Majma'ah</v>
      </c>
      <c r="I170" s="18" t="str">
        <f>IFERROR(INDEX('المناطق Regions'!$C$2:$C$15,MATCH(B170,'المناطق Regions'!$A$2:$A$15,0)),"")</f>
        <v>Riyadh</v>
      </c>
      <c r="J170" s="18" t="str">
        <f>F170&amp;", "&amp;E170&amp;", Saudi Arabia"</f>
        <v>المعشبه, المجمعه, Saudi Arabia</v>
      </c>
      <c r="K170" s="18">
        <v>25.559549</v>
      </c>
      <c r="L170" s="18">
        <v>45.381907</v>
      </c>
      <c r="M170" s="18">
        <v>2000</v>
      </c>
      <c r="N170" s="18" t="s">
        <v>562</v>
      </c>
    </row>
    <row r="171" ht="15" customHeight="1" spans="1:14" x14ac:dyDescent="0.25">
      <c r="A171" s="13" t="s">
        <v>903</v>
      </c>
      <c r="B171" s="13">
        <v>1</v>
      </c>
      <c r="C171" s="14" t="s">
        <v>44</v>
      </c>
      <c r="D171" s="13" t="s">
        <v>122</v>
      </c>
      <c r="E171" s="14" t="s">
        <v>123</v>
      </c>
      <c r="F171" s="14" t="s">
        <v>904</v>
      </c>
      <c r="G171" s="13" t="s">
        <v>149</v>
      </c>
      <c r="H171" s="18" t="str">
        <f>IFERROR(INDEX('المحافظات Governorates'!$E$2:$E$151,MATCH(D171,'المحافظات Governorates'!$A$2:$A$151,0)),"")</f>
        <v>Al-Majma'ah</v>
      </c>
      <c r="I171" s="18" t="str">
        <f>IFERROR(INDEX('المناطق Regions'!$C$2:$C$15,MATCH(B171,'المناطق Regions'!$A$2:$A$15,0)),"")</f>
        <v>Riyadh</v>
      </c>
      <c r="J171" s="18" t="str">
        <f>F171&amp;", "&amp;E171&amp;", Saudi Arabia"</f>
        <v>الحاير بسدير, المجمعه, Saudi Arabia</v>
      </c>
      <c r="K171" s="18">
        <v>26.408532</v>
      </c>
      <c r="L171" s="18">
        <v>45.632931</v>
      </c>
      <c r="M171" s="18">
        <v>157073</v>
      </c>
      <c r="N171" s="18" t="s">
        <v>870</v>
      </c>
    </row>
    <row r="172" ht="15" customHeight="1" spans="1:14" x14ac:dyDescent="0.25">
      <c r="A172" s="11" t="s">
        <v>905</v>
      </c>
      <c r="B172" s="11">
        <v>1</v>
      </c>
      <c r="C172" s="12" t="s">
        <v>44</v>
      </c>
      <c r="D172" s="11" t="s">
        <v>122</v>
      </c>
      <c r="E172" s="12" t="s">
        <v>123</v>
      </c>
      <c r="F172" s="12" t="s">
        <v>906</v>
      </c>
      <c r="G172" s="11" t="s">
        <v>149</v>
      </c>
      <c r="H172" s="18" t="str">
        <f>IFERROR(INDEX('المحافظات Governorates'!$E$2:$E$151,MATCH(D172,'المحافظات Governorates'!$A$2:$A$151,0)),"")</f>
        <v>Al-Majma'ah</v>
      </c>
      <c r="I172" s="18" t="str">
        <f>IFERROR(INDEX('المناطق Regions'!$C$2:$C$15,MATCH(B172,'المناطق Regions'!$A$2:$A$15,0)),"")</f>
        <v>Riyadh</v>
      </c>
      <c r="J172" s="18" t="str">
        <f>F172&amp;", "&amp;E172&amp;", Saudi Arabia"</f>
        <v>وشي, المجمعه, Saudi Arabia</v>
      </c>
      <c r="K172" s="18">
        <v>25.801477</v>
      </c>
      <c r="L172" s="18">
        <v>45.265163</v>
      </c>
      <c r="M172" s="18">
        <v>2000</v>
      </c>
      <c r="N172" s="18" t="s">
        <v>562</v>
      </c>
    </row>
    <row r="173" ht="15" customHeight="1" spans="1:14" x14ac:dyDescent="0.25">
      <c r="A173" s="13" t="s">
        <v>907</v>
      </c>
      <c r="B173" s="13">
        <v>1</v>
      </c>
      <c r="C173" s="14" t="s">
        <v>44</v>
      </c>
      <c r="D173" s="13" t="s">
        <v>122</v>
      </c>
      <c r="E173" s="14" t="s">
        <v>123</v>
      </c>
      <c r="F173" s="14" t="s">
        <v>908</v>
      </c>
      <c r="G173" s="13" t="s">
        <v>149</v>
      </c>
      <c r="H173" s="18" t="str">
        <f>IFERROR(INDEX('المحافظات Governorates'!$E$2:$E$151,MATCH(D173,'المحافظات Governorates'!$A$2:$A$151,0)),"")</f>
        <v>Al-Majma'ah</v>
      </c>
      <c r="I173" s="18" t="str">
        <f>IFERROR(INDEX('المناطق Regions'!$C$2:$C$15,MATCH(B173,'المناطق Regions'!$A$2:$A$15,0)),"")</f>
        <v>Riyadh</v>
      </c>
      <c r="J173" s="18" t="str">
        <f>F173&amp;", "&amp;E173&amp;", Saudi Arabia"</f>
        <v>بوضاء بسدير, المجمعه, Saudi Arabia</v>
      </c>
      <c r="K173" s="18">
        <v>26.408532</v>
      </c>
      <c r="L173" s="18">
        <v>45.632931</v>
      </c>
      <c r="M173" s="18">
        <v>157073</v>
      </c>
      <c r="N173" s="18" t="s">
        <v>870</v>
      </c>
    </row>
    <row r="174" ht="15" customHeight="1" spans="1:14" x14ac:dyDescent="0.25">
      <c r="A174" s="11" t="s">
        <v>909</v>
      </c>
      <c r="B174" s="11">
        <v>1</v>
      </c>
      <c r="C174" s="12" t="s">
        <v>44</v>
      </c>
      <c r="D174" s="11" t="s">
        <v>122</v>
      </c>
      <c r="E174" s="12" t="s">
        <v>123</v>
      </c>
      <c r="F174" s="12" t="s">
        <v>910</v>
      </c>
      <c r="G174" s="11" t="s">
        <v>149</v>
      </c>
      <c r="H174" s="18" t="str">
        <f>IFERROR(INDEX('المحافظات Governorates'!$E$2:$E$151,MATCH(D174,'المحافظات Governorates'!$A$2:$A$151,0)),"")</f>
        <v>Al-Majma'ah</v>
      </c>
      <c r="I174" s="18" t="str">
        <f>IFERROR(INDEX('المناطق Regions'!$C$2:$C$15,MATCH(B174,'المناطق Regions'!$A$2:$A$15,0)),"")</f>
        <v>Riyadh</v>
      </c>
      <c r="J174" s="18" t="str">
        <f>F174&amp;", "&amp;E174&amp;", Saudi Arabia"</f>
        <v>الشعب, المجمعه, Saudi Arabia</v>
      </c>
      <c r="K174" s="18">
        <v>25.913074</v>
      </c>
      <c r="L174" s="18">
        <v>45.903774</v>
      </c>
      <c r="M174" s="18">
        <v>2000</v>
      </c>
      <c r="N174" s="18" t="s">
        <v>562</v>
      </c>
    </row>
    <row r="175" ht="15" customHeight="1" spans="1:14" x14ac:dyDescent="0.25">
      <c r="A175" s="13" t="s">
        <v>911</v>
      </c>
      <c r="B175" s="13">
        <v>1</v>
      </c>
      <c r="C175" s="14" t="s">
        <v>44</v>
      </c>
      <c r="D175" s="13" t="s">
        <v>122</v>
      </c>
      <c r="E175" s="14" t="s">
        <v>123</v>
      </c>
      <c r="F175" s="14" t="s">
        <v>912</v>
      </c>
      <c r="G175" s="13" t="s">
        <v>149</v>
      </c>
      <c r="H175" s="18" t="str">
        <f>IFERROR(INDEX('المحافظات Governorates'!$E$2:$E$151,MATCH(D175,'المحافظات Governorates'!$A$2:$A$151,0)),"")</f>
        <v>Al-Majma'ah</v>
      </c>
      <c r="I175" s="18" t="str">
        <f>IFERROR(INDEX('المناطق Regions'!$C$2:$C$15,MATCH(B175,'المناطق Regions'!$A$2:$A$15,0)),"")</f>
        <v>Riyadh</v>
      </c>
      <c r="J175" s="18" t="str">
        <f>F175&amp;", "&amp;E175&amp;", Saudi Arabia"</f>
        <v>حويمضه, المجمعه, Saudi Arabia</v>
      </c>
      <c r="K175" s="18">
        <v>26.466325</v>
      </c>
      <c r="L175" s="18">
        <v>45.164799</v>
      </c>
      <c r="M175" s="18">
        <v>2000</v>
      </c>
      <c r="N175" s="18" t="s">
        <v>562</v>
      </c>
    </row>
    <row r="176" ht="15" customHeight="1" spans="1:14" x14ac:dyDescent="0.25">
      <c r="A176" s="11" t="s">
        <v>913</v>
      </c>
      <c r="B176" s="11">
        <v>1</v>
      </c>
      <c r="C176" s="12" t="s">
        <v>44</v>
      </c>
      <c r="D176" s="11" t="s">
        <v>122</v>
      </c>
      <c r="E176" s="12" t="s">
        <v>123</v>
      </c>
      <c r="F176" s="12" t="s">
        <v>914</v>
      </c>
      <c r="G176" s="11" t="s">
        <v>149</v>
      </c>
      <c r="H176" s="18" t="str">
        <f>IFERROR(INDEX('المحافظات Governorates'!$E$2:$E$151,MATCH(D176,'المحافظات Governorates'!$A$2:$A$151,0)),"")</f>
        <v>Al-Majma'ah</v>
      </c>
      <c r="I176" s="18" t="str">
        <f>IFERROR(INDEX('المناطق Regions'!$C$2:$C$15,MATCH(B176,'المناطق Regions'!$A$2:$A$15,0)),"")</f>
        <v>Riyadh</v>
      </c>
      <c r="J176" s="18" t="str">
        <f>F176&amp;", "&amp;E176&amp;", Saudi Arabia"</f>
        <v>البرزه, المجمعه, Saudi Arabia</v>
      </c>
      <c r="K176" s="18">
        <v>26.678272</v>
      </c>
      <c r="L176" s="18">
        <v>45.340607</v>
      </c>
      <c r="M176" s="18">
        <v>2000</v>
      </c>
      <c r="N176" s="18" t="s">
        <v>562</v>
      </c>
    </row>
    <row r="177" ht="15" customHeight="1" spans="1:14" x14ac:dyDescent="0.25">
      <c r="A177" s="13" t="s">
        <v>915</v>
      </c>
      <c r="B177" s="13">
        <v>1</v>
      </c>
      <c r="C177" s="14" t="s">
        <v>44</v>
      </c>
      <c r="D177" s="13" t="s">
        <v>122</v>
      </c>
      <c r="E177" s="14" t="s">
        <v>123</v>
      </c>
      <c r="F177" s="14" t="s">
        <v>916</v>
      </c>
      <c r="G177" s="13" t="s">
        <v>149</v>
      </c>
      <c r="H177" s="18" t="str">
        <f>IFERROR(INDEX('المحافظات Governorates'!$E$2:$E$151,MATCH(D177,'المحافظات Governorates'!$A$2:$A$151,0)),"")</f>
        <v>Al-Majma'ah</v>
      </c>
      <c r="I177" s="18" t="str">
        <f>IFERROR(INDEX('المناطق Regions'!$C$2:$C$15,MATCH(B177,'المناطق Regions'!$A$2:$A$15,0)),"")</f>
        <v>Riyadh</v>
      </c>
      <c r="J177" s="18" t="str">
        <f>F177&amp;", "&amp;E177&amp;", Saudi Arabia"</f>
        <v>ام سدره, المجمعه, Saudi Arabia</v>
      </c>
      <c r="K177" s="18">
        <v>26.408532</v>
      </c>
      <c r="L177" s="18">
        <v>45.632931</v>
      </c>
      <c r="M177" s="18">
        <v>157073</v>
      </c>
      <c r="N177" s="18" t="s">
        <v>870</v>
      </c>
    </row>
    <row r="178" ht="15" customHeight="1" spans="1:14" x14ac:dyDescent="0.25">
      <c r="A178" s="11" t="s">
        <v>917</v>
      </c>
      <c r="B178" s="11">
        <v>1</v>
      </c>
      <c r="C178" s="12" t="s">
        <v>44</v>
      </c>
      <c r="D178" s="11" t="s">
        <v>122</v>
      </c>
      <c r="E178" s="12" t="s">
        <v>123</v>
      </c>
      <c r="F178" s="12" t="s">
        <v>918</v>
      </c>
      <c r="G178" s="11" t="s">
        <v>149</v>
      </c>
      <c r="H178" s="18" t="str">
        <f>IFERROR(INDEX('المحافظات Governorates'!$E$2:$E$151,MATCH(D178,'المحافظات Governorates'!$A$2:$A$151,0)),"")</f>
        <v>Al-Majma'ah</v>
      </c>
      <c r="I178" s="18" t="str">
        <f>IFERROR(INDEX('المناطق Regions'!$C$2:$C$15,MATCH(B178,'المناطق Regions'!$A$2:$A$15,0)),"")</f>
        <v>Riyadh</v>
      </c>
      <c r="J178" s="18" t="str">
        <f>F178&amp;", "&amp;E178&amp;", Saudi Arabia"</f>
        <v>الشحمه, المجمعه, Saudi Arabia</v>
      </c>
      <c r="K178" s="18">
        <v>26.112325</v>
      </c>
      <c r="L178" s="18">
        <v>45.802903</v>
      </c>
      <c r="M178" s="18">
        <v>2000</v>
      </c>
      <c r="N178" s="18" t="s">
        <v>562</v>
      </c>
    </row>
    <row r="179" ht="15" customHeight="1" spans="1:14" x14ac:dyDescent="0.25">
      <c r="A179" s="13" t="s">
        <v>919</v>
      </c>
      <c r="B179" s="13">
        <v>1</v>
      </c>
      <c r="C179" s="14" t="s">
        <v>44</v>
      </c>
      <c r="D179" s="13" t="s">
        <v>122</v>
      </c>
      <c r="E179" s="14" t="s">
        <v>123</v>
      </c>
      <c r="F179" s="14" t="s">
        <v>920</v>
      </c>
      <c r="G179" s="13" t="s">
        <v>149</v>
      </c>
      <c r="H179" s="18" t="str">
        <f>IFERROR(INDEX('المحافظات Governorates'!$E$2:$E$151,MATCH(D179,'المحافظات Governorates'!$A$2:$A$151,0)),"")</f>
        <v>Al-Majma'ah</v>
      </c>
      <c r="I179" s="18" t="str">
        <f>IFERROR(INDEX('المناطق Regions'!$C$2:$C$15,MATCH(B179,'المناطق Regions'!$A$2:$A$15,0)),"")</f>
        <v>Riyadh</v>
      </c>
      <c r="J179" s="18" t="str">
        <f>F179&amp;", "&amp;E179&amp;", Saudi Arabia"</f>
        <v>مشذوبه, المجمعه, Saudi Arabia</v>
      </c>
      <c r="K179" s="18">
        <v>27.342808</v>
      </c>
      <c r="L179" s="18">
        <v>45.022029</v>
      </c>
      <c r="M179" s="18">
        <v>2000</v>
      </c>
      <c r="N179" s="18" t="s">
        <v>562</v>
      </c>
    </row>
    <row r="180" ht="15" customHeight="1" spans="1:14" x14ac:dyDescent="0.25">
      <c r="A180" s="11" t="s">
        <v>921</v>
      </c>
      <c r="B180" s="11">
        <v>1</v>
      </c>
      <c r="C180" s="12" t="s">
        <v>44</v>
      </c>
      <c r="D180" s="11" t="s">
        <v>122</v>
      </c>
      <c r="E180" s="12" t="s">
        <v>123</v>
      </c>
      <c r="F180" s="12" t="s">
        <v>922</v>
      </c>
      <c r="G180" s="11" t="s">
        <v>149</v>
      </c>
      <c r="H180" s="18" t="str">
        <f>IFERROR(INDEX('المحافظات Governorates'!$E$2:$E$151,MATCH(D180,'المحافظات Governorates'!$A$2:$A$151,0)),"")</f>
        <v>Al-Majma'ah</v>
      </c>
      <c r="I180" s="18" t="str">
        <f>IFERROR(INDEX('المناطق Regions'!$C$2:$C$15,MATCH(B180,'المناطق Regions'!$A$2:$A$15,0)),"")</f>
        <v>Riyadh</v>
      </c>
      <c r="J180" s="18" t="str">
        <f>F180&amp;", "&amp;E180&amp;", Saudi Arabia"</f>
        <v>ام سديره, المجمعه, Saudi Arabia</v>
      </c>
      <c r="K180" s="18">
        <v>26.862439</v>
      </c>
      <c r="L180" s="18">
        <v>45.241804</v>
      </c>
      <c r="M180" s="18">
        <v>2000</v>
      </c>
      <c r="N180" s="18" t="s">
        <v>562</v>
      </c>
    </row>
    <row r="181" ht="15" customHeight="1" spans="1:14" x14ac:dyDescent="0.25">
      <c r="A181" s="13" t="s">
        <v>923</v>
      </c>
      <c r="B181" s="13">
        <v>1</v>
      </c>
      <c r="C181" s="14" t="s">
        <v>44</v>
      </c>
      <c r="D181" s="13" t="s">
        <v>125</v>
      </c>
      <c r="E181" s="14" t="s">
        <v>126</v>
      </c>
      <c r="F181" s="14" t="s">
        <v>924</v>
      </c>
      <c r="G181" s="13" t="s">
        <v>113</v>
      </c>
      <c r="H181" s="18" t="str">
        <f>IFERROR(INDEX('المحافظات Governorates'!$E$2:$E$151,MATCH(D181,'المحافظات Governorates'!$A$2:$A$151,0)),"")</f>
        <v>Al-Quwayiyah</v>
      </c>
      <c r="I181" s="18" t="str">
        <f>IFERROR(INDEX('المناطق Regions'!$C$2:$C$15,MATCH(B181,'المناطق Regions'!$A$2:$A$15,0)),"")</f>
        <v>Riyadh</v>
      </c>
      <c r="J181" s="18" t="str">
        <f>F181&amp;", "&amp;E181&amp;", Saudi Arabia"</f>
        <v>الخاصره, القويعيه, Saudi Arabia</v>
      </c>
      <c r="K181" s="18">
        <v>23.407129</v>
      </c>
      <c r="L181" s="18">
        <v>43.92605</v>
      </c>
      <c r="M181" s="18">
        <v>2000</v>
      </c>
      <c r="N181" s="18" t="s">
        <v>562</v>
      </c>
    </row>
    <row r="182" ht="15" customHeight="1" spans="1:14" x14ac:dyDescent="0.25">
      <c r="A182" s="11" t="s">
        <v>925</v>
      </c>
      <c r="B182" s="11">
        <v>1</v>
      </c>
      <c r="C182" s="12" t="s">
        <v>44</v>
      </c>
      <c r="D182" s="11" t="s">
        <v>125</v>
      </c>
      <c r="E182" s="12" t="s">
        <v>126</v>
      </c>
      <c r="F182" s="12" t="s">
        <v>926</v>
      </c>
      <c r="G182" s="11" t="s">
        <v>113</v>
      </c>
      <c r="H182" s="18" t="str">
        <f>IFERROR(INDEX('المحافظات Governorates'!$E$2:$E$151,MATCH(D182,'المحافظات Governorates'!$A$2:$A$151,0)),"")</f>
        <v>Al-Quwayiyah</v>
      </c>
      <c r="I182" s="18" t="str">
        <f>IFERROR(INDEX('المناطق Regions'!$C$2:$C$15,MATCH(B182,'المناطق Regions'!$A$2:$A$15,0)),"")</f>
        <v>Riyadh</v>
      </c>
      <c r="J182" s="18" t="str">
        <f>F182&amp;", "&amp;E182&amp;", Saudi Arabia"</f>
        <v>الرويضة بالعرض, القويعيه, Saudi Arabia</v>
      </c>
      <c r="K182" s="18">
        <v>23.301634</v>
      </c>
      <c r="L182" s="18">
        <v>44.422712</v>
      </c>
      <c r="M182" s="18">
        <v>205252</v>
      </c>
      <c r="N182" s="18" t="s">
        <v>927</v>
      </c>
    </row>
    <row r="183" ht="15" customHeight="1" spans="1:14" x14ac:dyDescent="0.25">
      <c r="A183" s="13" t="s">
        <v>928</v>
      </c>
      <c r="B183" s="13">
        <v>1</v>
      </c>
      <c r="C183" s="14" t="s">
        <v>44</v>
      </c>
      <c r="D183" s="13" t="s">
        <v>125</v>
      </c>
      <c r="E183" s="14" t="s">
        <v>126</v>
      </c>
      <c r="F183" s="14" t="s">
        <v>929</v>
      </c>
      <c r="G183" s="13" t="s">
        <v>113</v>
      </c>
      <c r="H183" s="18" t="str">
        <f>IFERROR(INDEX('المحافظات Governorates'!$E$2:$E$151,MATCH(D183,'المحافظات Governorates'!$A$2:$A$151,0)),"")</f>
        <v>Al-Quwayiyah</v>
      </c>
      <c r="I183" s="18" t="str">
        <f>IFERROR(INDEX('المناطق Regions'!$C$2:$C$15,MATCH(B183,'المناطق Regions'!$A$2:$A$15,0)),"")</f>
        <v>Riyadh</v>
      </c>
      <c r="J183" s="18" t="str">
        <f>F183&amp;", "&amp;E183&amp;", Saudi Arabia"</f>
        <v>سنام, القويعيه, Saudi Arabia</v>
      </c>
      <c r="K183" s="18">
        <v>23.653074</v>
      </c>
      <c r="L183" s="18">
        <v>44.747653</v>
      </c>
      <c r="M183" s="18">
        <v>2000</v>
      </c>
      <c r="N183" s="18" t="s">
        <v>562</v>
      </c>
    </row>
    <row r="184" ht="15" customHeight="1" spans="1:14" x14ac:dyDescent="0.25">
      <c r="A184" s="11" t="s">
        <v>930</v>
      </c>
      <c r="B184" s="11">
        <v>1</v>
      </c>
      <c r="C184" s="12" t="s">
        <v>44</v>
      </c>
      <c r="D184" s="11" t="s">
        <v>125</v>
      </c>
      <c r="E184" s="12" t="s">
        <v>126</v>
      </c>
      <c r="F184" s="12" t="s">
        <v>931</v>
      </c>
      <c r="G184" s="11" t="s">
        <v>113</v>
      </c>
      <c r="H184" s="18" t="str">
        <f>IFERROR(INDEX('المحافظات Governorates'!$E$2:$E$151,MATCH(D184,'المحافظات Governorates'!$A$2:$A$151,0)),"")</f>
        <v>Al-Quwayiyah</v>
      </c>
      <c r="I184" s="18" t="str">
        <f>IFERROR(INDEX('المناطق Regions'!$C$2:$C$15,MATCH(B184,'المناطق Regions'!$A$2:$A$15,0)),"")</f>
        <v>Riyadh</v>
      </c>
      <c r="J184" s="18" t="str">
        <f>F184&amp;", "&amp;E184&amp;", Saudi Arabia"</f>
        <v>الحرمليه, القويعيه, Saudi Arabia</v>
      </c>
      <c r="K184" s="18">
        <v>24.270556</v>
      </c>
      <c r="L184" s="18">
        <v>45.181389</v>
      </c>
      <c r="M184" s="18">
        <v>2000</v>
      </c>
      <c r="N184" s="18" t="s">
        <v>562</v>
      </c>
    </row>
    <row r="185" ht="15" customHeight="1" spans="1:14" x14ac:dyDescent="0.25">
      <c r="A185" s="13" t="s">
        <v>932</v>
      </c>
      <c r="B185" s="13">
        <v>1</v>
      </c>
      <c r="C185" s="14" t="s">
        <v>44</v>
      </c>
      <c r="D185" s="13" t="s">
        <v>125</v>
      </c>
      <c r="E185" s="14" t="s">
        <v>126</v>
      </c>
      <c r="F185" s="14" t="s">
        <v>933</v>
      </c>
      <c r="G185" s="13" t="s">
        <v>113</v>
      </c>
      <c r="H185" s="18" t="str">
        <f>IFERROR(INDEX('المحافظات Governorates'!$E$2:$E$151,MATCH(D185,'المحافظات Governorates'!$A$2:$A$151,0)),"")</f>
        <v>Al-Quwayiyah</v>
      </c>
      <c r="I185" s="18" t="str">
        <f>IFERROR(INDEX('المناطق Regions'!$C$2:$C$15,MATCH(B185,'المناطق Regions'!$A$2:$A$15,0)),"")</f>
        <v>Riyadh</v>
      </c>
      <c r="J185" s="18" t="str">
        <f>F185&amp;", "&amp;E185&amp;", Saudi Arabia"</f>
        <v>حلبان, القويعيه, Saudi Arabia</v>
      </c>
      <c r="K185" s="18">
        <v>23.481275</v>
      </c>
      <c r="L185" s="18">
        <v>44.368272</v>
      </c>
      <c r="M185" s="18">
        <v>2000</v>
      </c>
      <c r="N185" s="18" t="s">
        <v>562</v>
      </c>
    </row>
    <row r="186" ht="15" customHeight="1" spans="1:14" x14ac:dyDescent="0.25">
      <c r="A186" s="11" t="s">
        <v>934</v>
      </c>
      <c r="B186" s="11">
        <v>1</v>
      </c>
      <c r="C186" s="12" t="s">
        <v>44</v>
      </c>
      <c r="D186" s="11" t="s">
        <v>125</v>
      </c>
      <c r="E186" s="12" t="s">
        <v>126</v>
      </c>
      <c r="F186" s="12" t="s">
        <v>935</v>
      </c>
      <c r="G186" s="11" t="s">
        <v>113</v>
      </c>
      <c r="H186" s="18" t="str">
        <f>IFERROR(INDEX('المحافظات Governorates'!$E$2:$E$151,MATCH(D186,'المحافظات Governorates'!$A$2:$A$151,0)),"")</f>
        <v>Al-Quwayiyah</v>
      </c>
      <c r="I186" s="18" t="str">
        <f>IFERROR(INDEX('المناطق Regions'!$C$2:$C$15,MATCH(B186,'المناطق Regions'!$A$2:$A$15,0)),"")</f>
        <v>Riyadh</v>
      </c>
      <c r="J186" s="18" t="str">
        <f>F186&amp;", "&amp;E186&amp;", Saudi Arabia"</f>
        <v>الفويلق, القويعيه, Saudi Arabia</v>
      </c>
      <c r="K186" s="18">
        <v>24.390278</v>
      </c>
      <c r="L186" s="18">
        <v>45.306667</v>
      </c>
      <c r="M186" s="18">
        <v>2000</v>
      </c>
      <c r="N186" s="18" t="s">
        <v>562</v>
      </c>
    </row>
    <row r="187" ht="15" customHeight="1" spans="1:14" x14ac:dyDescent="0.25">
      <c r="A187" s="13" t="s">
        <v>936</v>
      </c>
      <c r="B187" s="13">
        <v>1</v>
      </c>
      <c r="C187" s="14" t="s">
        <v>44</v>
      </c>
      <c r="D187" s="13" t="s">
        <v>125</v>
      </c>
      <c r="E187" s="14" t="s">
        <v>126</v>
      </c>
      <c r="F187" s="14" t="s">
        <v>937</v>
      </c>
      <c r="G187" s="13" t="s">
        <v>113</v>
      </c>
      <c r="H187" s="18" t="str">
        <f>IFERROR(INDEX('المحافظات Governorates'!$E$2:$E$151,MATCH(D187,'المحافظات Governorates'!$A$2:$A$151,0)),"")</f>
        <v>Al-Quwayiyah</v>
      </c>
      <c r="I187" s="18" t="str">
        <f>IFERROR(INDEX('المناطق Regions'!$C$2:$C$15,MATCH(B187,'المناطق Regions'!$A$2:$A$15,0)),"")</f>
        <v>Riyadh</v>
      </c>
      <c r="J187" s="18" t="str">
        <f>F187&amp;", "&amp;E187&amp;", Saudi Arabia"</f>
        <v>مزعل, القويعيه, Saudi Arabia</v>
      </c>
      <c r="K187" s="18">
        <v>24.009322</v>
      </c>
      <c r="L187" s="18">
        <v>45.196702</v>
      </c>
      <c r="M187" s="18">
        <v>2000</v>
      </c>
      <c r="N187" s="18" t="s">
        <v>562</v>
      </c>
    </row>
    <row r="188" ht="15" customHeight="1" spans="1:14" x14ac:dyDescent="0.25">
      <c r="A188" s="11" t="s">
        <v>938</v>
      </c>
      <c r="B188" s="11">
        <v>1</v>
      </c>
      <c r="C188" s="12" t="s">
        <v>44</v>
      </c>
      <c r="D188" s="11" t="s">
        <v>125</v>
      </c>
      <c r="E188" s="12" t="s">
        <v>126</v>
      </c>
      <c r="F188" s="12" t="s">
        <v>939</v>
      </c>
      <c r="G188" s="11" t="s">
        <v>113</v>
      </c>
      <c r="H188" s="18" t="str">
        <f>IFERROR(INDEX('المحافظات Governorates'!$E$2:$E$151,MATCH(D188,'المحافظات Governorates'!$A$2:$A$151,0)),"")</f>
        <v>Al-Quwayiyah</v>
      </c>
      <c r="I188" s="18" t="str">
        <f>IFERROR(INDEX('المناطق Regions'!$C$2:$C$15,MATCH(B188,'المناطق Regions'!$A$2:$A$15,0)),"")</f>
        <v>Riyadh</v>
      </c>
      <c r="J188" s="18" t="str">
        <f>F188&amp;", "&amp;E188&amp;", Saudi Arabia"</f>
        <v>الخروعيه, القويعيه, Saudi Arabia</v>
      </c>
      <c r="K188" s="18">
        <v>23.845507</v>
      </c>
      <c r="L188" s="18">
        <v>45.64606</v>
      </c>
      <c r="M188" s="18">
        <v>2000</v>
      </c>
      <c r="N188" s="18" t="s">
        <v>562</v>
      </c>
    </row>
    <row r="189" ht="15" customHeight="1" spans="1:14" x14ac:dyDescent="0.25">
      <c r="A189" s="13" t="s">
        <v>940</v>
      </c>
      <c r="B189" s="13">
        <v>1</v>
      </c>
      <c r="C189" s="14" t="s">
        <v>44</v>
      </c>
      <c r="D189" s="13" t="s">
        <v>125</v>
      </c>
      <c r="E189" s="14" t="s">
        <v>126</v>
      </c>
      <c r="F189" s="14" t="s">
        <v>941</v>
      </c>
      <c r="G189" s="13" t="s">
        <v>113</v>
      </c>
      <c r="H189" s="18" t="str">
        <f>IFERROR(INDEX('المحافظات Governorates'!$E$2:$E$151,MATCH(D189,'المحافظات Governorates'!$A$2:$A$151,0)),"")</f>
        <v>Al-Quwayiyah</v>
      </c>
      <c r="I189" s="18" t="str">
        <f>IFERROR(INDEX('المناطق Regions'!$C$2:$C$15,MATCH(B189,'المناطق Regions'!$A$2:$A$15,0)),"")</f>
        <v>Riyadh</v>
      </c>
      <c r="J189" s="18" t="str">
        <f>F189&amp;", "&amp;E189&amp;", Saudi Arabia"</f>
        <v>صبحاء, القويعيه, Saudi Arabia</v>
      </c>
      <c r="K189" s="18">
        <v>23.259195</v>
      </c>
      <c r="L189" s="18">
        <v>44.646926</v>
      </c>
      <c r="M189" s="18">
        <v>2000</v>
      </c>
      <c r="N189" s="18" t="s">
        <v>562</v>
      </c>
    </row>
    <row r="190" ht="15" customHeight="1" spans="1:14" x14ac:dyDescent="0.25">
      <c r="A190" s="11" t="s">
        <v>942</v>
      </c>
      <c r="B190" s="11">
        <v>1</v>
      </c>
      <c r="C190" s="12" t="s">
        <v>44</v>
      </c>
      <c r="D190" s="11" t="s">
        <v>125</v>
      </c>
      <c r="E190" s="12" t="s">
        <v>126</v>
      </c>
      <c r="F190" s="12" t="s">
        <v>943</v>
      </c>
      <c r="G190" s="11" t="s">
        <v>113</v>
      </c>
      <c r="H190" s="18" t="str">
        <f>IFERROR(INDEX('المحافظات Governorates'!$E$2:$E$151,MATCH(D190,'المحافظات Governorates'!$A$2:$A$151,0)),"")</f>
        <v>Al-Quwayiyah</v>
      </c>
      <c r="I190" s="18" t="str">
        <f>IFERROR(INDEX('المناطق Regions'!$C$2:$C$15,MATCH(B190,'المناطق Regions'!$A$2:$A$15,0)),"")</f>
        <v>Riyadh</v>
      </c>
      <c r="J190" s="18" t="str">
        <f>F190&amp;", "&amp;E190&amp;", Saudi Arabia"</f>
        <v>ام سريحه, القويعيه, Saudi Arabia</v>
      </c>
      <c r="K190" s="18">
        <v>23.711599</v>
      </c>
      <c r="L190" s="18">
        <v>44.592442</v>
      </c>
      <c r="M190" s="18">
        <v>2000</v>
      </c>
      <c r="N190" s="18" t="s">
        <v>562</v>
      </c>
    </row>
    <row r="191" ht="15" customHeight="1" spans="1:14" x14ac:dyDescent="0.25">
      <c r="A191" s="13" t="s">
        <v>944</v>
      </c>
      <c r="B191" s="13">
        <v>1</v>
      </c>
      <c r="C191" s="14" t="s">
        <v>44</v>
      </c>
      <c r="D191" s="13" t="s">
        <v>125</v>
      </c>
      <c r="E191" s="14" t="s">
        <v>126</v>
      </c>
      <c r="F191" s="14" t="s">
        <v>945</v>
      </c>
      <c r="G191" s="13" t="s">
        <v>113</v>
      </c>
      <c r="H191" s="18" t="str">
        <f>IFERROR(INDEX('المحافظات Governorates'!$E$2:$E$151,MATCH(D191,'المحافظات Governorates'!$A$2:$A$151,0)),"")</f>
        <v>Al-Quwayiyah</v>
      </c>
      <c r="I191" s="18" t="str">
        <f>IFERROR(INDEX('المناطق Regions'!$C$2:$C$15,MATCH(B191,'المناطق Regions'!$A$2:$A$15,0)),"")</f>
        <v>Riyadh</v>
      </c>
      <c r="J191" s="18" t="str">
        <f>F191&amp;", "&amp;E191&amp;", Saudi Arabia"</f>
        <v>روضة الشيابين, القويعيه, Saudi Arabia</v>
      </c>
      <c r="K191" s="18">
        <v>23.301634</v>
      </c>
      <c r="L191" s="18">
        <v>44.422712</v>
      </c>
      <c r="M191" s="18">
        <v>205252</v>
      </c>
      <c r="N191" s="18" t="s">
        <v>927</v>
      </c>
    </row>
    <row r="192" ht="15" customHeight="1" spans="1:14" x14ac:dyDescent="0.25">
      <c r="A192" s="11" t="s">
        <v>946</v>
      </c>
      <c r="B192" s="11">
        <v>1</v>
      </c>
      <c r="C192" s="12" t="s">
        <v>44</v>
      </c>
      <c r="D192" s="11" t="s">
        <v>125</v>
      </c>
      <c r="E192" s="12" t="s">
        <v>126</v>
      </c>
      <c r="F192" s="12" t="s">
        <v>947</v>
      </c>
      <c r="G192" s="11" t="s">
        <v>113</v>
      </c>
      <c r="H192" s="18" t="str">
        <f>IFERROR(INDEX('المحافظات Governorates'!$E$2:$E$151,MATCH(D192,'المحافظات Governorates'!$A$2:$A$151,0)),"")</f>
        <v>Al-Quwayiyah</v>
      </c>
      <c r="I192" s="18" t="str">
        <f>IFERROR(INDEX('المناطق Regions'!$C$2:$C$15,MATCH(B192,'المناطق Regions'!$A$2:$A$15,0)),"")</f>
        <v>Riyadh</v>
      </c>
      <c r="J192" s="18" t="str">
        <f>F192&amp;", "&amp;E192&amp;", Saudi Arabia"</f>
        <v>بدائع العصمه, القويعيه, Saudi Arabia</v>
      </c>
      <c r="K192" s="18">
        <v>23.737752</v>
      </c>
      <c r="L192" s="18">
        <v>44.568981</v>
      </c>
      <c r="M192" s="18">
        <v>2000</v>
      </c>
      <c r="N192" s="18" t="s">
        <v>562</v>
      </c>
    </row>
    <row r="193" ht="15" customHeight="1" spans="1:14" x14ac:dyDescent="0.25">
      <c r="A193" s="13" t="s">
        <v>948</v>
      </c>
      <c r="B193" s="13">
        <v>1</v>
      </c>
      <c r="C193" s="14" t="s">
        <v>44</v>
      </c>
      <c r="D193" s="13" t="s">
        <v>125</v>
      </c>
      <c r="E193" s="14" t="s">
        <v>126</v>
      </c>
      <c r="F193" s="14" t="s">
        <v>949</v>
      </c>
      <c r="G193" s="13" t="s">
        <v>113</v>
      </c>
      <c r="H193" s="18" t="str">
        <f>IFERROR(INDEX('المحافظات Governorates'!$E$2:$E$151,MATCH(D193,'المحافظات Governorates'!$A$2:$A$151,0)),"")</f>
        <v>Al-Quwayiyah</v>
      </c>
      <c r="I193" s="18" t="str">
        <f>IFERROR(INDEX('المناطق Regions'!$C$2:$C$15,MATCH(B193,'المناطق Regions'!$A$2:$A$15,0)),"")</f>
        <v>Riyadh</v>
      </c>
      <c r="J193" s="18" t="str">
        <f>F193&amp;", "&amp;E193&amp;", Saudi Arabia"</f>
        <v>الخنيقيه, القويعيه, Saudi Arabia</v>
      </c>
      <c r="K193" s="18">
        <v>24.266138</v>
      </c>
      <c r="L193" s="18">
        <v>45.085358</v>
      </c>
      <c r="M193" s="18">
        <v>2000</v>
      </c>
      <c r="N193" s="18" t="s">
        <v>562</v>
      </c>
    </row>
    <row r="194" ht="15" customHeight="1" spans="1:14" x14ac:dyDescent="0.25">
      <c r="A194" s="11" t="s">
        <v>950</v>
      </c>
      <c r="B194" s="11">
        <v>1</v>
      </c>
      <c r="C194" s="12" t="s">
        <v>44</v>
      </c>
      <c r="D194" s="11" t="s">
        <v>125</v>
      </c>
      <c r="E194" s="12" t="s">
        <v>126</v>
      </c>
      <c r="F194" s="12" t="s">
        <v>951</v>
      </c>
      <c r="G194" s="11" t="s">
        <v>113</v>
      </c>
      <c r="H194" s="18" t="str">
        <f>IFERROR(INDEX('المحافظات Governorates'!$E$2:$E$151,MATCH(D194,'المحافظات Governorates'!$A$2:$A$151,0)),"")</f>
        <v>Al-Quwayiyah</v>
      </c>
      <c r="I194" s="18" t="str">
        <f>IFERROR(INDEX('المناطق Regions'!$C$2:$C$15,MATCH(B194,'المناطق Regions'!$A$2:$A$15,0)),"")</f>
        <v>Riyadh</v>
      </c>
      <c r="J194" s="18" t="str">
        <f>F194&amp;", "&amp;E194&amp;", Saudi Arabia"</f>
        <v>طحي, القويعيه, Saudi Arabia</v>
      </c>
      <c r="K194" s="18">
        <v>23.719366</v>
      </c>
      <c r="L194" s="18">
        <v>44.668782</v>
      </c>
      <c r="M194" s="18">
        <v>2000</v>
      </c>
      <c r="N194" s="18" t="s">
        <v>562</v>
      </c>
    </row>
    <row r="195" ht="15" customHeight="1" spans="1:14" x14ac:dyDescent="0.25">
      <c r="A195" s="13" t="s">
        <v>952</v>
      </c>
      <c r="B195" s="13">
        <v>1</v>
      </c>
      <c r="C195" s="14" t="s">
        <v>44</v>
      </c>
      <c r="D195" s="13" t="s">
        <v>125</v>
      </c>
      <c r="E195" s="14" t="s">
        <v>126</v>
      </c>
      <c r="F195" s="14" t="s">
        <v>953</v>
      </c>
      <c r="G195" s="13" t="s">
        <v>149</v>
      </c>
      <c r="H195" s="18" t="str">
        <f>IFERROR(INDEX('المحافظات Governorates'!$E$2:$E$151,MATCH(D195,'المحافظات Governorates'!$A$2:$A$151,0)),"")</f>
        <v>Al-Quwayiyah</v>
      </c>
      <c r="I195" s="18" t="str">
        <f>IFERROR(INDEX('المناطق Regions'!$C$2:$C$15,MATCH(B195,'المناطق Regions'!$A$2:$A$15,0)),"")</f>
        <v>Riyadh</v>
      </c>
      <c r="J195" s="18" t="str">
        <f>F195&amp;", "&amp;E195&amp;", Saudi Arabia"</f>
        <v>البدع بسنان, القويعيه, Saudi Arabia</v>
      </c>
      <c r="K195" s="18">
        <v>23.301634</v>
      </c>
      <c r="L195" s="18">
        <v>44.422712</v>
      </c>
      <c r="M195" s="18">
        <v>205252</v>
      </c>
      <c r="N195" s="18" t="s">
        <v>927</v>
      </c>
    </row>
    <row r="196" ht="15" customHeight="1" spans="1:14" x14ac:dyDescent="0.25">
      <c r="A196" s="11" t="s">
        <v>954</v>
      </c>
      <c r="B196" s="11">
        <v>1</v>
      </c>
      <c r="C196" s="12" t="s">
        <v>44</v>
      </c>
      <c r="D196" s="11" t="s">
        <v>125</v>
      </c>
      <c r="E196" s="12" t="s">
        <v>126</v>
      </c>
      <c r="F196" s="12" t="s">
        <v>955</v>
      </c>
      <c r="G196" s="11" t="s">
        <v>149</v>
      </c>
      <c r="H196" s="18" t="str">
        <f>IFERROR(INDEX('المحافظات Governorates'!$E$2:$E$151,MATCH(D196,'المحافظات Governorates'!$A$2:$A$151,0)),"")</f>
        <v>Al-Quwayiyah</v>
      </c>
      <c r="I196" s="18" t="str">
        <f>IFERROR(INDEX('المناطق Regions'!$C$2:$C$15,MATCH(B196,'المناطق Regions'!$A$2:$A$15,0)),"")</f>
        <v>Riyadh</v>
      </c>
      <c r="J196" s="18" t="str">
        <f>F196&amp;", "&amp;E196&amp;", Saudi Arabia"</f>
        <v>صبحاء الشعيب, القويعيه, Saudi Arabia</v>
      </c>
      <c r="K196" s="18">
        <v>23.301634</v>
      </c>
      <c r="L196" s="18">
        <v>44.422712</v>
      </c>
      <c r="M196" s="18">
        <v>205252</v>
      </c>
      <c r="N196" s="18" t="s">
        <v>927</v>
      </c>
    </row>
    <row r="197" ht="15" customHeight="1" spans="1:14" x14ac:dyDescent="0.25">
      <c r="A197" s="13" t="s">
        <v>956</v>
      </c>
      <c r="B197" s="13">
        <v>1</v>
      </c>
      <c r="C197" s="14" t="s">
        <v>44</v>
      </c>
      <c r="D197" s="13" t="s">
        <v>125</v>
      </c>
      <c r="E197" s="14" t="s">
        <v>126</v>
      </c>
      <c r="F197" s="14" t="s">
        <v>957</v>
      </c>
      <c r="G197" s="13" t="s">
        <v>149</v>
      </c>
      <c r="H197" s="18" t="str">
        <f>IFERROR(INDEX('المحافظات Governorates'!$E$2:$E$151,MATCH(D197,'المحافظات Governorates'!$A$2:$A$151,0)),"")</f>
        <v>Al-Quwayiyah</v>
      </c>
      <c r="I197" s="18" t="str">
        <f>IFERROR(INDEX('المناطق Regions'!$C$2:$C$15,MATCH(B197,'المناطق Regions'!$A$2:$A$15,0)),"")</f>
        <v>Riyadh</v>
      </c>
      <c r="J197" s="18" t="str">
        <f>F197&amp;", "&amp;E197&amp;", Saudi Arabia"</f>
        <v>لجعه, القويعيه, Saudi Arabia</v>
      </c>
      <c r="K197" s="18">
        <v>23.680197</v>
      </c>
      <c r="L197" s="18">
        <v>44.887982</v>
      </c>
      <c r="M197" s="18">
        <v>2000</v>
      </c>
      <c r="N197" s="18" t="s">
        <v>562</v>
      </c>
    </row>
    <row r="198" ht="15" customHeight="1" spans="1:14" x14ac:dyDescent="0.25">
      <c r="A198" s="11" t="s">
        <v>958</v>
      </c>
      <c r="B198" s="11">
        <v>1</v>
      </c>
      <c r="C198" s="12" t="s">
        <v>44</v>
      </c>
      <c r="D198" s="11" t="s">
        <v>125</v>
      </c>
      <c r="E198" s="12" t="s">
        <v>126</v>
      </c>
      <c r="F198" s="12" t="s">
        <v>959</v>
      </c>
      <c r="G198" s="11" t="s">
        <v>113</v>
      </c>
      <c r="H198" s="18" t="str">
        <f>IFERROR(INDEX('المحافظات Governorates'!$E$2:$E$151,MATCH(D198,'المحافظات Governorates'!$A$2:$A$151,0)),"")</f>
        <v>Al-Quwayiyah</v>
      </c>
      <c r="I198" s="18" t="str">
        <f>IFERROR(INDEX('المناطق Regions'!$C$2:$C$15,MATCH(B198,'المناطق Regions'!$A$2:$A$15,0)),"")</f>
        <v>Riyadh</v>
      </c>
      <c r="J198" s="18" t="str">
        <f>F198&amp;", "&amp;E198&amp;", Saudi Arabia"</f>
        <v>تبراك والجلة, القويعيه, Saudi Arabia</v>
      </c>
      <c r="K198" s="18">
        <v>23.301634</v>
      </c>
      <c r="L198" s="18">
        <v>44.422712</v>
      </c>
      <c r="M198" s="18">
        <v>205252</v>
      </c>
      <c r="N198" s="18" t="s">
        <v>927</v>
      </c>
    </row>
    <row r="199" ht="15" customHeight="1" spans="1:14" x14ac:dyDescent="0.25">
      <c r="A199" s="13" t="s">
        <v>960</v>
      </c>
      <c r="B199" s="13">
        <v>1</v>
      </c>
      <c r="C199" s="14" t="s">
        <v>44</v>
      </c>
      <c r="D199" s="13" t="s">
        <v>125</v>
      </c>
      <c r="E199" s="14" t="s">
        <v>126</v>
      </c>
      <c r="F199" s="14" t="s">
        <v>961</v>
      </c>
      <c r="G199" s="13" t="s">
        <v>113</v>
      </c>
      <c r="H199" s="18" t="str">
        <f>IFERROR(INDEX('المحافظات Governorates'!$E$2:$E$151,MATCH(D199,'المحافظات Governorates'!$A$2:$A$151,0)),"")</f>
        <v>Al-Quwayiyah</v>
      </c>
      <c r="I199" s="18" t="str">
        <f>IFERROR(INDEX('المناطق Regions'!$C$2:$C$15,MATCH(B199,'المناطق Regions'!$A$2:$A$15,0)),"")</f>
        <v>Riyadh</v>
      </c>
      <c r="J199" s="18" t="str">
        <f>F199&amp;", "&amp;E199&amp;", Saudi Arabia"</f>
        <v>الفهيدات, القويعيه, Saudi Arabia</v>
      </c>
      <c r="K199" s="18">
        <v>23.480738</v>
      </c>
      <c r="L199" s="18">
        <v>44.36553</v>
      </c>
      <c r="M199" s="18">
        <v>2000</v>
      </c>
      <c r="N199" s="18" t="s">
        <v>562</v>
      </c>
    </row>
    <row r="200" ht="15" customHeight="1" spans="1:14" x14ac:dyDescent="0.25">
      <c r="A200" s="11" t="s">
        <v>962</v>
      </c>
      <c r="B200" s="11">
        <v>1</v>
      </c>
      <c r="C200" s="12" t="s">
        <v>44</v>
      </c>
      <c r="D200" s="11" t="s">
        <v>125</v>
      </c>
      <c r="E200" s="12" t="s">
        <v>126</v>
      </c>
      <c r="F200" s="12" t="s">
        <v>963</v>
      </c>
      <c r="G200" s="11" t="s">
        <v>113</v>
      </c>
      <c r="H200" s="18" t="str">
        <f>IFERROR(INDEX('المحافظات Governorates'!$E$2:$E$151,MATCH(D200,'المحافظات Governorates'!$A$2:$A$151,0)),"")</f>
        <v>Al-Quwayiyah</v>
      </c>
      <c r="I200" s="18" t="str">
        <f>IFERROR(INDEX('المناطق Regions'!$C$2:$C$15,MATCH(B200,'المناطق Regions'!$A$2:$A$15,0)),"")</f>
        <v>Riyadh</v>
      </c>
      <c r="J200" s="18" t="str">
        <f>F200&amp;", "&amp;E200&amp;", Saudi Arabia"</f>
        <v>الخرائق, القويعيه, Saudi Arabia</v>
      </c>
      <c r="K200" s="18">
        <v>23.463475</v>
      </c>
      <c r="L200" s="18">
        <v>44.341733</v>
      </c>
      <c r="M200" s="18">
        <v>2000</v>
      </c>
      <c r="N200" s="18" t="s">
        <v>562</v>
      </c>
    </row>
    <row r="201" ht="15" customHeight="1" spans="1:14" x14ac:dyDescent="0.25">
      <c r="A201" s="13" t="s">
        <v>964</v>
      </c>
      <c r="B201" s="13">
        <v>1</v>
      </c>
      <c r="C201" s="14" t="s">
        <v>44</v>
      </c>
      <c r="D201" s="13" t="s">
        <v>125</v>
      </c>
      <c r="E201" s="14" t="s">
        <v>126</v>
      </c>
      <c r="F201" s="14" t="s">
        <v>965</v>
      </c>
      <c r="G201" s="13" t="s">
        <v>149</v>
      </c>
      <c r="H201" s="18" t="str">
        <f>IFERROR(INDEX('المحافظات Governorates'!$E$2:$E$151,MATCH(D201,'المحافظات Governorates'!$A$2:$A$151,0)),"")</f>
        <v>Al-Quwayiyah</v>
      </c>
      <c r="I201" s="18" t="str">
        <f>IFERROR(INDEX('المناطق Regions'!$C$2:$C$15,MATCH(B201,'المناطق Regions'!$A$2:$A$15,0)),"")</f>
        <v>Riyadh</v>
      </c>
      <c r="J201" s="18" t="str">
        <f>F201&amp;", "&amp;E201&amp;", Saudi Arabia"</f>
        <v>نخيلان, القويعيه, Saudi Arabia</v>
      </c>
      <c r="K201" s="18">
        <v>23.994844</v>
      </c>
      <c r="L201" s="18">
        <v>44.947666</v>
      </c>
      <c r="M201" s="18">
        <v>2000</v>
      </c>
      <c r="N201" s="18" t="s">
        <v>562</v>
      </c>
    </row>
    <row r="202" ht="15" customHeight="1" spans="1:14" x14ac:dyDescent="0.25">
      <c r="A202" s="11" t="s">
        <v>966</v>
      </c>
      <c r="B202" s="11">
        <v>1</v>
      </c>
      <c r="C202" s="12" t="s">
        <v>44</v>
      </c>
      <c r="D202" s="11" t="s">
        <v>125</v>
      </c>
      <c r="E202" s="12" t="s">
        <v>126</v>
      </c>
      <c r="F202" s="12" t="s">
        <v>967</v>
      </c>
      <c r="G202" s="11" t="s">
        <v>149</v>
      </c>
      <c r="H202" s="18" t="str">
        <f>IFERROR(INDEX('المحافظات Governorates'!$E$2:$E$151,MATCH(D202,'المحافظات Governorates'!$A$2:$A$151,0)),"")</f>
        <v>Al-Quwayiyah</v>
      </c>
      <c r="I202" s="18" t="str">
        <f>IFERROR(INDEX('المناطق Regions'!$C$2:$C$15,MATCH(B202,'المناطق Regions'!$A$2:$A$15,0)),"")</f>
        <v>Riyadh</v>
      </c>
      <c r="J202" s="18" t="str">
        <f>F202&amp;", "&amp;E202&amp;", Saudi Arabia"</f>
        <v>الجفارة, القويعيه, Saudi Arabia</v>
      </c>
      <c r="K202" s="18">
        <v>23.986234</v>
      </c>
      <c r="L202" s="18">
        <v>45.184781</v>
      </c>
      <c r="M202" s="18">
        <v>2000</v>
      </c>
      <c r="N202" s="18" t="s">
        <v>562</v>
      </c>
    </row>
    <row r="203" ht="15" customHeight="1" spans="1:14" x14ac:dyDescent="0.25">
      <c r="A203" s="13" t="s">
        <v>968</v>
      </c>
      <c r="B203" s="13">
        <v>1</v>
      </c>
      <c r="C203" s="14" t="s">
        <v>44</v>
      </c>
      <c r="D203" s="13" t="s">
        <v>125</v>
      </c>
      <c r="E203" s="14" t="s">
        <v>126</v>
      </c>
      <c r="F203" s="14" t="s">
        <v>969</v>
      </c>
      <c r="G203" s="13" t="s">
        <v>149</v>
      </c>
      <c r="H203" s="18" t="str">
        <f>IFERROR(INDEX('المحافظات Governorates'!$E$2:$E$151,MATCH(D203,'المحافظات Governorates'!$A$2:$A$151,0)),"")</f>
        <v>Al-Quwayiyah</v>
      </c>
      <c r="I203" s="18" t="str">
        <f>IFERROR(INDEX('المناطق Regions'!$C$2:$C$15,MATCH(B203,'المناطق Regions'!$A$2:$A$15,0)),"")</f>
        <v>Riyadh</v>
      </c>
      <c r="J203" s="18" t="str">
        <f>F203&amp;", "&amp;E203&amp;", Saudi Arabia"</f>
        <v>جزيل, القويعيه, Saudi Arabia</v>
      </c>
      <c r="K203" s="18">
        <v>23.301634</v>
      </c>
      <c r="L203" s="18">
        <v>44.422712</v>
      </c>
      <c r="M203" s="18">
        <v>205252</v>
      </c>
      <c r="N203" s="18" t="s">
        <v>927</v>
      </c>
    </row>
    <row r="204" ht="15" customHeight="1" spans="1:14" x14ac:dyDescent="0.25">
      <c r="A204" s="11" t="s">
        <v>970</v>
      </c>
      <c r="B204" s="11">
        <v>1</v>
      </c>
      <c r="C204" s="12" t="s">
        <v>44</v>
      </c>
      <c r="D204" s="11" t="s">
        <v>125</v>
      </c>
      <c r="E204" s="12" t="s">
        <v>126</v>
      </c>
      <c r="F204" s="12" t="s">
        <v>971</v>
      </c>
      <c r="G204" s="11" t="s">
        <v>149</v>
      </c>
      <c r="H204" s="18" t="str">
        <f>IFERROR(INDEX('المحافظات Governorates'!$E$2:$E$151,MATCH(D204,'المحافظات Governorates'!$A$2:$A$151,0)),"")</f>
        <v>Al-Quwayiyah</v>
      </c>
      <c r="I204" s="18" t="str">
        <f>IFERROR(INDEX('المناطق Regions'!$C$2:$C$15,MATCH(B204,'المناطق Regions'!$A$2:$A$15,0)),"")</f>
        <v>Riyadh</v>
      </c>
      <c r="J204" s="18" t="str">
        <f>F204&amp;", "&amp;E204&amp;", Saudi Arabia"</f>
        <v>جزالا, القويعيه, Saudi Arabia</v>
      </c>
      <c r="K204" s="18">
        <v>23.301634</v>
      </c>
      <c r="L204" s="18">
        <v>44.422712</v>
      </c>
      <c r="M204" s="18">
        <v>205252</v>
      </c>
      <c r="N204" s="18" t="s">
        <v>927</v>
      </c>
    </row>
    <row r="205" ht="15" customHeight="1" spans="1:14" x14ac:dyDescent="0.25">
      <c r="A205" s="13" t="s">
        <v>972</v>
      </c>
      <c r="B205" s="13">
        <v>1</v>
      </c>
      <c r="C205" s="14" t="s">
        <v>44</v>
      </c>
      <c r="D205" s="13" t="s">
        <v>125</v>
      </c>
      <c r="E205" s="14" t="s">
        <v>126</v>
      </c>
      <c r="F205" s="14" t="s">
        <v>973</v>
      </c>
      <c r="G205" s="13" t="s">
        <v>149</v>
      </c>
      <c r="H205" s="18" t="str">
        <f>IFERROR(INDEX('المحافظات Governorates'!$E$2:$E$151,MATCH(D205,'المحافظات Governorates'!$A$2:$A$151,0)),"")</f>
        <v>Al-Quwayiyah</v>
      </c>
      <c r="I205" s="18" t="str">
        <f>IFERROR(INDEX('المناطق Regions'!$C$2:$C$15,MATCH(B205,'المناطق Regions'!$A$2:$A$15,0)),"")</f>
        <v>Riyadh</v>
      </c>
      <c r="J205" s="18" t="str">
        <f>F205&amp;", "&amp;E205&amp;", Saudi Arabia"</f>
        <v>مويسل, القويعيه, Saudi Arabia</v>
      </c>
      <c r="K205" s="18">
        <v>23.855198</v>
      </c>
      <c r="L205" s="18">
        <v>44.728206</v>
      </c>
      <c r="M205" s="18">
        <v>2000</v>
      </c>
      <c r="N205" s="18" t="s">
        <v>562</v>
      </c>
    </row>
    <row r="206" ht="15" customHeight="1" spans="1:14" x14ac:dyDescent="0.25">
      <c r="A206" s="11" t="s">
        <v>974</v>
      </c>
      <c r="B206" s="11">
        <v>1</v>
      </c>
      <c r="C206" s="12" t="s">
        <v>44</v>
      </c>
      <c r="D206" s="11" t="s">
        <v>125</v>
      </c>
      <c r="E206" s="12" t="s">
        <v>126</v>
      </c>
      <c r="F206" s="12" t="s">
        <v>975</v>
      </c>
      <c r="G206" s="11" t="s">
        <v>149</v>
      </c>
      <c r="H206" s="18" t="str">
        <f>IFERROR(INDEX('المحافظات Governorates'!$E$2:$E$151,MATCH(D206,'المحافظات Governorates'!$A$2:$A$151,0)),"")</f>
        <v>Al-Quwayiyah</v>
      </c>
      <c r="I206" s="18" t="str">
        <f>IFERROR(INDEX('المناطق Regions'!$C$2:$C$15,MATCH(B206,'المناطق Regions'!$A$2:$A$15,0)),"")</f>
        <v>Riyadh</v>
      </c>
      <c r="J206" s="18" t="str">
        <f>F206&amp;", "&amp;E206&amp;", Saudi Arabia"</f>
        <v>وادي الخنقة, القويعيه, Saudi Arabia</v>
      </c>
      <c r="K206" s="18">
        <v>24.15043</v>
      </c>
      <c r="L206" s="18">
        <v>45.247273</v>
      </c>
      <c r="M206" s="18">
        <v>2000</v>
      </c>
      <c r="N206" s="18" t="s">
        <v>562</v>
      </c>
    </row>
    <row r="207" ht="15" customHeight="1" spans="1:14" x14ac:dyDescent="0.25">
      <c r="A207" s="13" t="s">
        <v>976</v>
      </c>
      <c r="B207" s="13">
        <v>1</v>
      </c>
      <c r="C207" s="14" t="s">
        <v>44</v>
      </c>
      <c r="D207" s="13" t="s">
        <v>125</v>
      </c>
      <c r="E207" s="14" t="s">
        <v>126</v>
      </c>
      <c r="F207" s="14" t="s">
        <v>977</v>
      </c>
      <c r="G207" s="13" t="s">
        <v>149</v>
      </c>
      <c r="H207" s="18" t="str">
        <f>IFERROR(INDEX('المحافظات Governorates'!$E$2:$E$151,MATCH(D207,'المحافظات Governorates'!$A$2:$A$151,0)),"")</f>
        <v>Al-Quwayiyah</v>
      </c>
      <c r="I207" s="18" t="str">
        <f>IFERROR(INDEX('المناطق Regions'!$C$2:$C$15,MATCH(B207,'المناطق Regions'!$A$2:$A$15,0)),"")</f>
        <v>Riyadh</v>
      </c>
      <c r="J207" s="18" t="str">
        <f>F207&amp;", "&amp;E207&amp;", Saudi Arabia"</f>
        <v>دسمان, القويعيه, Saudi Arabia</v>
      </c>
      <c r="K207" s="18">
        <v>24.222847</v>
      </c>
      <c r="L207" s="18">
        <v>44.900681</v>
      </c>
      <c r="M207" s="18">
        <v>2000</v>
      </c>
      <c r="N207" s="18" t="s">
        <v>562</v>
      </c>
    </row>
    <row r="208" ht="15" customHeight="1" spans="1:14" x14ac:dyDescent="0.25">
      <c r="A208" s="11" t="s">
        <v>978</v>
      </c>
      <c r="B208" s="11">
        <v>1</v>
      </c>
      <c r="C208" s="12" t="s">
        <v>44</v>
      </c>
      <c r="D208" s="11" t="s">
        <v>125</v>
      </c>
      <c r="E208" s="12" t="s">
        <v>126</v>
      </c>
      <c r="F208" s="12" t="s">
        <v>979</v>
      </c>
      <c r="G208" s="11" t="s">
        <v>149</v>
      </c>
      <c r="H208" s="18" t="str">
        <f>IFERROR(INDEX('المحافظات Governorates'!$E$2:$E$151,MATCH(D208,'المحافظات Governorates'!$A$2:$A$151,0)),"")</f>
        <v>Al-Quwayiyah</v>
      </c>
      <c r="I208" s="18" t="str">
        <f>IFERROR(INDEX('المناطق Regions'!$C$2:$C$15,MATCH(B208,'المناطق Regions'!$A$2:$A$15,0)),"")</f>
        <v>Riyadh</v>
      </c>
      <c r="J208" s="18" t="str">
        <f>F208&amp;", "&amp;E208&amp;", Saudi Arabia"</f>
        <v>محيرقه, القويعيه, Saudi Arabia</v>
      </c>
      <c r="K208" s="18">
        <v>23.979679</v>
      </c>
      <c r="L208" s="18">
        <v>45.068857</v>
      </c>
      <c r="M208" s="18">
        <v>2000</v>
      </c>
      <c r="N208" s="18" t="s">
        <v>562</v>
      </c>
    </row>
    <row r="209" ht="15" customHeight="1" spans="1:14" x14ac:dyDescent="0.25">
      <c r="A209" s="13" t="s">
        <v>980</v>
      </c>
      <c r="B209" s="13">
        <v>1</v>
      </c>
      <c r="C209" s="14" t="s">
        <v>44</v>
      </c>
      <c r="D209" s="13" t="s">
        <v>125</v>
      </c>
      <c r="E209" s="14" t="s">
        <v>126</v>
      </c>
      <c r="F209" s="14" t="s">
        <v>981</v>
      </c>
      <c r="G209" s="13" t="s">
        <v>149</v>
      </c>
      <c r="H209" s="18" t="str">
        <f>IFERROR(INDEX('المحافظات Governorates'!$E$2:$E$151,MATCH(D209,'المحافظات Governorates'!$A$2:$A$151,0)),"")</f>
        <v>Al-Quwayiyah</v>
      </c>
      <c r="I209" s="18" t="str">
        <f>IFERROR(INDEX('المناطق Regions'!$C$2:$C$15,MATCH(B209,'المناطق Regions'!$A$2:$A$15,0)),"")</f>
        <v>Riyadh</v>
      </c>
      <c r="J209" s="18" t="str">
        <f>F209&amp;", "&amp;E209&amp;", Saudi Arabia"</f>
        <v>الامار, القويعيه, Saudi Arabia</v>
      </c>
      <c r="K209" s="18">
        <v>23.763927</v>
      </c>
      <c r="L209" s="18">
        <v>45.081282</v>
      </c>
      <c r="M209" s="18">
        <v>2000</v>
      </c>
      <c r="N209" s="18" t="s">
        <v>562</v>
      </c>
    </row>
    <row r="210" ht="15" customHeight="1" spans="1:14" x14ac:dyDescent="0.25">
      <c r="A210" s="11" t="s">
        <v>982</v>
      </c>
      <c r="B210" s="11">
        <v>1</v>
      </c>
      <c r="C210" s="12" t="s">
        <v>44</v>
      </c>
      <c r="D210" s="11" t="s">
        <v>125</v>
      </c>
      <c r="E210" s="12" t="s">
        <v>126</v>
      </c>
      <c r="F210" s="12" t="s">
        <v>983</v>
      </c>
      <c r="G210" s="11" t="s">
        <v>149</v>
      </c>
      <c r="H210" s="18" t="str">
        <f>IFERROR(INDEX('المحافظات Governorates'!$E$2:$E$151,MATCH(D210,'المحافظات Governorates'!$A$2:$A$151,0)),"")</f>
        <v>Al-Quwayiyah</v>
      </c>
      <c r="I210" s="18" t="str">
        <f>IFERROR(INDEX('المناطق Regions'!$C$2:$C$15,MATCH(B210,'المناطق Regions'!$A$2:$A$15,0)),"")</f>
        <v>Riyadh</v>
      </c>
      <c r="J210" s="18" t="str">
        <f>F210&amp;", "&amp;E210&amp;", Saudi Arabia"</f>
        <v>حجيلاء, القويعيه, Saudi Arabia</v>
      </c>
      <c r="K210" s="18">
        <v>23.849087</v>
      </c>
      <c r="L210" s="18">
        <v>45.38731</v>
      </c>
      <c r="M210" s="18">
        <v>2000</v>
      </c>
      <c r="N210" s="18" t="s">
        <v>562</v>
      </c>
    </row>
    <row r="211" ht="15" customHeight="1" spans="1:14" x14ac:dyDescent="0.25">
      <c r="A211" s="13" t="s">
        <v>984</v>
      </c>
      <c r="B211" s="13">
        <v>1</v>
      </c>
      <c r="C211" s="14" t="s">
        <v>44</v>
      </c>
      <c r="D211" s="13" t="s">
        <v>125</v>
      </c>
      <c r="E211" s="14" t="s">
        <v>126</v>
      </c>
      <c r="F211" s="14" t="s">
        <v>985</v>
      </c>
      <c r="G211" s="13" t="s">
        <v>149</v>
      </c>
      <c r="H211" s="18" t="str">
        <f>IFERROR(INDEX('المحافظات Governorates'!$E$2:$E$151,MATCH(D211,'المحافظات Governorates'!$A$2:$A$151,0)),"")</f>
        <v>Al-Quwayiyah</v>
      </c>
      <c r="I211" s="18" t="str">
        <f>IFERROR(INDEX('المناطق Regions'!$C$2:$C$15,MATCH(B211,'المناطق Regions'!$A$2:$A$15,0)),"")</f>
        <v>Riyadh</v>
      </c>
      <c r="J211" s="18" t="str">
        <f>F211&amp;", "&amp;E211&amp;", Saudi Arabia"</f>
        <v>حلاة الجله, القويعيه, Saudi Arabia</v>
      </c>
      <c r="K211" s="18">
        <v>23.301634</v>
      </c>
      <c r="L211" s="18">
        <v>44.422712</v>
      </c>
      <c r="M211" s="18">
        <v>205252</v>
      </c>
      <c r="N211" s="18" t="s">
        <v>927</v>
      </c>
    </row>
    <row r="212" ht="15" customHeight="1" spans="1:14" x14ac:dyDescent="0.25">
      <c r="A212" s="11" t="s">
        <v>986</v>
      </c>
      <c r="B212" s="11">
        <v>1</v>
      </c>
      <c r="C212" s="12" t="s">
        <v>44</v>
      </c>
      <c r="D212" s="11" t="s">
        <v>125</v>
      </c>
      <c r="E212" s="12" t="s">
        <v>126</v>
      </c>
      <c r="F212" s="12" t="s">
        <v>987</v>
      </c>
      <c r="G212" s="11" t="s">
        <v>149</v>
      </c>
      <c r="H212" s="18" t="str">
        <f>IFERROR(INDEX('المحافظات Governorates'!$E$2:$E$151,MATCH(D212,'المحافظات Governorates'!$A$2:$A$151,0)),"")</f>
        <v>Al-Quwayiyah</v>
      </c>
      <c r="I212" s="18" t="str">
        <f>IFERROR(INDEX('المناطق Regions'!$C$2:$C$15,MATCH(B212,'المناطق Regions'!$A$2:$A$15,0)),"")</f>
        <v>Riyadh</v>
      </c>
      <c r="J212" s="18" t="str">
        <f>F212&amp;", "&amp;E212&amp;", Saudi Arabia"</f>
        <v>تبراك, القويعيه, Saudi Arabia</v>
      </c>
      <c r="K212" s="18">
        <v>24.381389</v>
      </c>
      <c r="L212" s="18">
        <v>45.9</v>
      </c>
      <c r="M212" s="18">
        <v>2000</v>
      </c>
      <c r="N212" s="18" t="s">
        <v>562</v>
      </c>
    </row>
    <row r="213" ht="15" customHeight="1" spans="1:14" x14ac:dyDescent="0.25">
      <c r="A213" s="13" t="s">
        <v>988</v>
      </c>
      <c r="B213" s="13">
        <v>1</v>
      </c>
      <c r="C213" s="14" t="s">
        <v>44</v>
      </c>
      <c r="D213" s="13" t="s">
        <v>125</v>
      </c>
      <c r="E213" s="14" t="s">
        <v>126</v>
      </c>
      <c r="F213" s="14" t="s">
        <v>989</v>
      </c>
      <c r="G213" s="13" t="s">
        <v>149</v>
      </c>
      <c r="H213" s="18" t="str">
        <f>IFERROR(INDEX('المحافظات Governorates'!$E$2:$E$151,MATCH(D213,'المحافظات Governorates'!$A$2:$A$151,0)),"")</f>
        <v>Al-Quwayiyah</v>
      </c>
      <c r="I213" s="18" t="str">
        <f>IFERROR(INDEX('المناطق Regions'!$C$2:$C$15,MATCH(B213,'المناطق Regions'!$A$2:$A$15,0)),"")</f>
        <v>Riyadh</v>
      </c>
      <c r="J213" s="18" t="str">
        <f>F213&amp;", "&amp;E213&amp;", Saudi Arabia"</f>
        <v>قنيفذه, القويعيه, Saudi Arabia</v>
      </c>
      <c r="K213" s="18">
        <v>24.550518</v>
      </c>
      <c r="L213" s="18">
        <v>45.705776</v>
      </c>
      <c r="M213" s="18">
        <v>2000</v>
      </c>
      <c r="N213" s="18" t="s">
        <v>562</v>
      </c>
    </row>
    <row r="214" ht="15" customHeight="1" spans="1:14" x14ac:dyDescent="0.25">
      <c r="A214" s="11" t="s">
        <v>990</v>
      </c>
      <c r="B214" s="11">
        <v>1</v>
      </c>
      <c r="C214" s="12" t="s">
        <v>44</v>
      </c>
      <c r="D214" s="11" t="s">
        <v>125</v>
      </c>
      <c r="E214" s="12" t="s">
        <v>126</v>
      </c>
      <c r="F214" s="12" t="s">
        <v>991</v>
      </c>
      <c r="G214" s="11" t="s">
        <v>113</v>
      </c>
      <c r="H214" s="18" t="str">
        <f>IFERROR(INDEX('المحافظات Governorates'!$E$2:$E$151,MATCH(D214,'المحافظات Governorates'!$A$2:$A$151,0)),"")</f>
        <v>Al-Quwayiyah</v>
      </c>
      <c r="I214" s="18" t="str">
        <f>IFERROR(INDEX('المناطق Regions'!$C$2:$C$15,MATCH(B214,'المناطق Regions'!$A$2:$A$15,0)),"")</f>
        <v>Riyadh</v>
      </c>
      <c r="J214" s="18" t="str">
        <f>F214&amp;", "&amp;E214&amp;", Saudi Arabia"</f>
        <v>عصيل, القويعيه, Saudi Arabia</v>
      </c>
      <c r="K214" s="18">
        <v>23.510345</v>
      </c>
      <c r="L214" s="18">
        <v>44.391447</v>
      </c>
      <c r="M214" s="18">
        <v>2000</v>
      </c>
      <c r="N214" s="18" t="s">
        <v>562</v>
      </c>
    </row>
    <row r="215" ht="15" customHeight="1" spans="1:14" x14ac:dyDescent="0.25">
      <c r="A215" s="13" t="s">
        <v>992</v>
      </c>
      <c r="B215" s="13">
        <v>1</v>
      </c>
      <c r="C215" s="14" t="s">
        <v>44</v>
      </c>
      <c r="D215" s="13" t="s">
        <v>125</v>
      </c>
      <c r="E215" s="14" t="s">
        <v>126</v>
      </c>
      <c r="F215" s="14" t="s">
        <v>993</v>
      </c>
      <c r="G215" s="13" t="s">
        <v>149</v>
      </c>
      <c r="H215" s="18" t="str">
        <f>IFERROR(INDEX('المحافظات Governorates'!$E$2:$E$151,MATCH(D215,'المحافظات Governorates'!$A$2:$A$151,0)),"")</f>
        <v>Al-Quwayiyah</v>
      </c>
      <c r="I215" s="18" t="str">
        <f>IFERROR(INDEX('المناطق Regions'!$C$2:$C$15,MATCH(B215,'المناطق Regions'!$A$2:$A$15,0)),"")</f>
        <v>Riyadh</v>
      </c>
      <c r="J215" s="18" t="str">
        <f>F215&amp;", "&amp;E215&amp;", Saudi Arabia"</f>
        <v>الفويلق الشمالي, القويعيه, Saudi Arabia</v>
      </c>
      <c r="K215" s="18">
        <v>23.301634</v>
      </c>
      <c r="L215" s="18">
        <v>44.422712</v>
      </c>
      <c r="M215" s="18">
        <v>205252</v>
      </c>
      <c r="N215" s="18" t="s">
        <v>927</v>
      </c>
    </row>
    <row r="216" ht="15" customHeight="1" spans="1:14" x14ac:dyDescent="0.25">
      <c r="A216" s="11" t="s">
        <v>994</v>
      </c>
      <c r="B216" s="11">
        <v>1</v>
      </c>
      <c r="C216" s="12" t="s">
        <v>44</v>
      </c>
      <c r="D216" s="11" t="s">
        <v>125</v>
      </c>
      <c r="E216" s="12" t="s">
        <v>126</v>
      </c>
      <c r="F216" s="12" t="s">
        <v>995</v>
      </c>
      <c r="G216" s="11" t="s">
        <v>149</v>
      </c>
      <c r="H216" s="18" t="str">
        <f>IFERROR(INDEX('المحافظات Governorates'!$E$2:$E$151,MATCH(D216,'المحافظات Governorates'!$A$2:$A$151,0)),"")</f>
        <v>Al-Quwayiyah</v>
      </c>
      <c r="I216" s="18" t="str">
        <f>IFERROR(INDEX('المناطق Regions'!$C$2:$C$15,MATCH(B216,'المناطق Regions'!$A$2:$A$15,0)),"")</f>
        <v>Riyadh</v>
      </c>
      <c r="J216" s="18" t="str">
        <f>F216&amp;", "&amp;E216&amp;", Saudi Arabia"</f>
        <v>الخاصره القديمه, القويعيه, Saudi Arabia</v>
      </c>
      <c r="K216" s="18">
        <v>23.301634</v>
      </c>
      <c r="L216" s="18">
        <v>44.422712</v>
      </c>
      <c r="M216" s="18">
        <v>205252</v>
      </c>
      <c r="N216" s="18" t="s">
        <v>927</v>
      </c>
    </row>
    <row r="217" ht="15" customHeight="1" spans="1:14" x14ac:dyDescent="0.25">
      <c r="A217" s="13" t="s">
        <v>996</v>
      </c>
      <c r="B217" s="13">
        <v>1</v>
      </c>
      <c r="C217" s="14" t="s">
        <v>44</v>
      </c>
      <c r="D217" s="13" t="s">
        <v>125</v>
      </c>
      <c r="E217" s="14" t="s">
        <v>126</v>
      </c>
      <c r="F217" s="14" t="s">
        <v>997</v>
      </c>
      <c r="G217" s="13" t="s">
        <v>149</v>
      </c>
      <c r="H217" s="18" t="str">
        <f>IFERROR(INDEX('المحافظات Governorates'!$E$2:$E$151,MATCH(D217,'المحافظات Governorates'!$A$2:$A$151,0)),"")</f>
        <v>Al-Quwayiyah</v>
      </c>
      <c r="I217" s="18" t="str">
        <f>IFERROR(INDEX('المناطق Regions'!$C$2:$C$15,MATCH(B217,'المناطق Regions'!$A$2:$A$15,0)),"")</f>
        <v>Riyadh</v>
      </c>
      <c r="J217" s="18" t="str">
        <f>F217&amp;", "&amp;E217&amp;", Saudi Arabia"</f>
        <v>المديفع, القويعيه, Saudi Arabia</v>
      </c>
      <c r="K217" s="18">
        <v>23.840686</v>
      </c>
      <c r="L217" s="18">
        <v>44.79142</v>
      </c>
      <c r="M217" s="18">
        <v>2000</v>
      </c>
      <c r="N217" s="18" t="s">
        <v>562</v>
      </c>
    </row>
    <row r="218" ht="15" customHeight="1" spans="1:14" x14ac:dyDescent="0.25">
      <c r="A218" s="11" t="s">
        <v>998</v>
      </c>
      <c r="B218" s="11">
        <v>1</v>
      </c>
      <c r="C218" s="12" t="s">
        <v>44</v>
      </c>
      <c r="D218" s="11" t="s">
        <v>125</v>
      </c>
      <c r="E218" s="12" t="s">
        <v>126</v>
      </c>
      <c r="F218" s="12" t="s">
        <v>999</v>
      </c>
      <c r="G218" s="11" t="s">
        <v>149</v>
      </c>
      <c r="H218" s="18" t="str">
        <f>IFERROR(INDEX('المحافظات Governorates'!$E$2:$E$151,MATCH(D218,'المحافظات Governorates'!$A$2:$A$151,0)),"")</f>
        <v>Al-Quwayiyah</v>
      </c>
      <c r="I218" s="18" t="str">
        <f>IFERROR(INDEX('المناطق Regions'!$C$2:$C$15,MATCH(B218,'المناطق Regions'!$A$2:$A$15,0)),"")</f>
        <v>Riyadh</v>
      </c>
      <c r="J218" s="18" t="str">
        <f>F218&amp;", "&amp;E218&amp;", Saudi Arabia"</f>
        <v>الخالدية, القويعيه, Saudi Arabia</v>
      </c>
      <c r="K218" s="18">
        <v>23.989271</v>
      </c>
      <c r="L218" s="18">
        <v>45.164298</v>
      </c>
      <c r="M218" s="18">
        <v>2000</v>
      </c>
      <c r="N218" s="18" t="s">
        <v>562</v>
      </c>
    </row>
    <row r="219" ht="15" customHeight="1" spans="1:14" x14ac:dyDescent="0.25">
      <c r="A219" s="13" t="s">
        <v>1000</v>
      </c>
      <c r="B219" s="13">
        <v>1</v>
      </c>
      <c r="C219" s="14" t="s">
        <v>44</v>
      </c>
      <c r="D219" s="13" t="s">
        <v>125</v>
      </c>
      <c r="E219" s="14" t="s">
        <v>126</v>
      </c>
      <c r="F219" s="14" t="s">
        <v>1001</v>
      </c>
      <c r="G219" s="13" t="s">
        <v>149</v>
      </c>
      <c r="H219" s="18" t="str">
        <f>IFERROR(INDEX('المحافظات Governorates'!$E$2:$E$151,MATCH(D219,'المحافظات Governorates'!$A$2:$A$151,0)),"")</f>
        <v>Al-Quwayiyah</v>
      </c>
      <c r="I219" s="18" t="str">
        <f>IFERROR(INDEX('المناطق Regions'!$C$2:$C$15,MATCH(B219,'المناطق Regions'!$A$2:$A$15,0)),"")</f>
        <v>Riyadh</v>
      </c>
      <c r="J219" s="18" t="str">
        <f>F219&amp;", "&amp;E219&amp;", Saudi Arabia"</f>
        <v>الجله القديم, القويعيه, Saudi Arabia</v>
      </c>
      <c r="K219" s="18">
        <v>23.301634</v>
      </c>
      <c r="L219" s="18">
        <v>44.422712</v>
      </c>
      <c r="M219" s="18">
        <v>205252</v>
      </c>
      <c r="N219" s="18" t="s">
        <v>927</v>
      </c>
    </row>
    <row r="220" ht="15" customHeight="1" spans="1:14" x14ac:dyDescent="0.25">
      <c r="A220" s="11" t="s">
        <v>1002</v>
      </c>
      <c r="B220" s="11">
        <v>1</v>
      </c>
      <c r="C220" s="12" t="s">
        <v>44</v>
      </c>
      <c r="D220" s="11" t="s">
        <v>125</v>
      </c>
      <c r="E220" s="12" t="s">
        <v>126</v>
      </c>
      <c r="F220" s="12" t="s">
        <v>1003</v>
      </c>
      <c r="G220" s="11" t="s">
        <v>149</v>
      </c>
      <c r="H220" s="18" t="str">
        <f>IFERROR(INDEX('المحافظات Governorates'!$E$2:$E$151,MATCH(D220,'المحافظات Governorates'!$A$2:$A$151,0)),"")</f>
        <v>Al-Quwayiyah</v>
      </c>
      <c r="I220" s="18" t="str">
        <f>IFERROR(INDEX('المناطق Regions'!$C$2:$C$15,MATCH(B220,'المناطق Regions'!$A$2:$A$15,0)),"")</f>
        <v>Riyadh</v>
      </c>
      <c r="J220" s="18" t="str">
        <f>F220&amp;", "&amp;E220&amp;", Saudi Arabia"</f>
        <v>الخروعيه القديمه, القويعيه, Saudi Arabia</v>
      </c>
      <c r="K220" s="18">
        <v>23.301634</v>
      </c>
      <c r="L220" s="18">
        <v>44.422712</v>
      </c>
      <c r="M220" s="18">
        <v>205252</v>
      </c>
      <c r="N220" s="18" t="s">
        <v>927</v>
      </c>
    </row>
    <row r="221" ht="15" customHeight="1" spans="1:14" x14ac:dyDescent="0.25">
      <c r="A221" s="13" t="s">
        <v>1004</v>
      </c>
      <c r="B221" s="13">
        <v>1</v>
      </c>
      <c r="C221" s="14" t="s">
        <v>44</v>
      </c>
      <c r="D221" s="13" t="s">
        <v>125</v>
      </c>
      <c r="E221" s="14" t="s">
        <v>126</v>
      </c>
      <c r="F221" s="14" t="s">
        <v>1005</v>
      </c>
      <c r="G221" s="13" t="s">
        <v>149</v>
      </c>
      <c r="H221" s="18" t="str">
        <f>IFERROR(INDEX('المحافظات Governorates'!$E$2:$E$151,MATCH(D221,'المحافظات Governorates'!$A$2:$A$151,0)),"")</f>
        <v>Al-Quwayiyah</v>
      </c>
      <c r="I221" s="18" t="str">
        <f>IFERROR(INDEX('المناطق Regions'!$C$2:$C$15,MATCH(B221,'المناطق Regions'!$A$2:$A$15,0)),"")</f>
        <v>Riyadh</v>
      </c>
      <c r="J221" s="18" t="str">
        <f>F221&amp;", "&amp;E221&amp;", Saudi Arabia"</f>
        <v>أم جدير, القويعيه, Saudi Arabia</v>
      </c>
      <c r="K221" s="18">
        <v>23.25186</v>
      </c>
      <c r="L221" s="18">
        <v>44.949896</v>
      </c>
      <c r="M221" s="18">
        <v>2000</v>
      </c>
      <c r="N221" s="18" t="s">
        <v>562</v>
      </c>
    </row>
    <row r="222" ht="15" customHeight="1" spans="1:14" x14ac:dyDescent="0.25">
      <c r="A222" s="11" t="s">
        <v>1006</v>
      </c>
      <c r="B222" s="11">
        <v>1</v>
      </c>
      <c r="C222" s="12" t="s">
        <v>44</v>
      </c>
      <c r="D222" s="11" t="s">
        <v>125</v>
      </c>
      <c r="E222" s="12" t="s">
        <v>126</v>
      </c>
      <c r="F222" s="12" t="s">
        <v>1007</v>
      </c>
      <c r="G222" s="11" t="s">
        <v>149</v>
      </c>
      <c r="H222" s="18" t="str">
        <f>IFERROR(INDEX('المحافظات Governorates'!$E$2:$E$151,MATCH(D222,'المحافظات Governorates'!$A$2:$A$151,0)),"")</f>
        <v>Al-Quwayiyah</v>
      </c>
      <c r="I222" s="18" t="str">
        <f>IFERROR(INDEX('المناطق Regions'!$C$2:$C$15,MATCH(B222,'المناطق Regions'!$A$2:$A$15,0)),"")</f>
        <v>Riyadh</v>
      </c>
      <c r="J222" s="18" t="str">
        <f>F222&amp;", "&amp;E222&amp;", Saudi Arabia"</f>
        <v>الكلا, القويعيه, Saudi Arabia</v>
      </c>
      <c r="K222" s="18">
        <v>23.301634</v>
      </c>
      <c r="L222" s="18">
        <v>44.422712</v>
      </c>
      <c r="M222" s="18">
        <v>205252</v>
      </c>
      <c r="N222" s="18" t="s">
        <v>927</v>
      </c>
    </row>
    <row r="223" ht="15" customHeight="1" spans="1:14" x14ac:dyDescent="0.25">
      <c r="A223" s="13" t="s">
        <v>1008</v>
      </c>
      <c r="B223" s="13">
        <v>1</v>
      </c>
      <c r="C223" s="14" t="s">
        <v>44</v>
      </c>
      <c r="D223" s="13" t="s">
        <v>125</v>
      </c>
      <c r="E223" s="14" t="s">
        <v>126</v>
      </c>
      <c r="F223" s="14" t="s">
        <v>1009</v>
      </c>
      <c r="G223" s="13" t="s">
        <v>149</v>
      </c>
      <c r="H223" s="18" t="str">
        <f>IFERROR(INDEX('المحافظات Governorates'!$E$2:$E$151,MATCH(D223,'المحافظات Governorates'!$A$2:$A$151,0)),"")</f>
        <v>Al-Quwayiyah</v>
      </c>
      <c r="I223" s="18" t="str">
        <f>IFERROR(INDEX('المناطق Regions'!$C$2:$C$15,MATCH(B223,'المناطق Regions'!$A$2:$A$15,0)),"")</f>
        <v>Riyadh</v>
      </c>
      <c r="J223" s="18" t="str">
        <f>F223&amp;", "&amp;E223&amp;", Saudi Arabia"</f>
        <v>المليحاء, القويعيه, Saudi Arabia</v>
      </c>
      <c r="K223" s="18">
        <v>23.301634</v>
      </c>
      <c r="L223" s="18">
        <v>44.422712</v>
      </c>
      <c r="M223" s="18">
        <v>205252</v>
      </c>
      <c r="N223" s="18" t="s">
        <v>927</v>
      </c>
    </row>
    <row r="224" ht="15" customHeight="1" spans="1:14" x14ac:dyDescent="0.25">
      <c r="A224" s="11" t="s">
        <v>1010</v>
      </c>
      <c r="B224" s="11">
        <v>1</v>
      </c>
      <c r="C224" s="12" t="s">
        <v>44</v>
      </c>
      <c r="D224" s="11" t="s">
        <v>125</v>
      </c>
      <c r="E224" s="12" t="s">
        <v>126</v>
      </c>
      <c r="F224" s="12" t="s">
        <v>1011</v>
      </c>
      <c r="G224" s="11" t="s">
        <v>149</v>
      </c>
      <c r="H224" s="18" t="str">
        <f>IFERROR(INDEX('المحافظات Governorates'!$E$2:$E$151,MATCH(D224,'المحافظات Governorates'!$A$2:$A$151,0)),"")</f>
        <v>Al-Quwayiyah</v>
      </c>
      <c r="I224" s="18" t="str">
        <f>IFERROR(INDEX('المناطق Regions'!$C$2:$C$15,MATCH(B224,'المناطق Regions'!$A$2:$A$15,0)),"")</f>
        <v>Riyadh</v>
      </c>
      <c r="J224" s="18" t="str">
        <f>F224&amp;", "&amp;E224&amp;", Saudi Arabia"</f>
        <v>الجله الجنوبي, القويعيه, Saudi Arabia</v>
      </c>
      <c r="K224" s="18">
        <v>23.301634</v>
      </c>
      <c r="L224" s="18">
        <v>44.422712</v>
      </c>
      <c r="M224" s="18">
        <v>205252</v>
      </c>
      <c r="N224" s="18" t="s">
        <v>927</v>
      </c>
    </row>
    <row r="225" ht="15" customHeight="1" spans="1:14" x14ac:dyDescent="0.25">
      <c r="A225" s="13" t="s">
        <v>1012</v>
      </c>
      <c r="B225" s="13">
        <v>1</v>
      </c>
      <c r="C225" s="14" t="s">
        <v>44</v>
      </c>
      <c r="D225" s="13" t="s">
        <v>125</v>
      </c>
      <c r="E225" s="14" t="s">
        <v>126</v>
      </c>
      <c r="F225" s="14" t="s">
        <v>1013</v>
      </c>
      <c r="G225" s="13" t="s">
        <v>149</v>
      </c>
      <c r="H225" s="18" t="str">
        <f>IFERROR(INDEX('المحافظات Governorates'!$E$2:$E$151,MATCH(D225,'المحافظات Governorates'!$A$2:$A$151,0)),"")</f>
        <v>Al-Quwayiyah</v>
      </c>
      <c r="I225" s="18" t="str">
        <f>IFERROR(INDEX('المناطق Regions'!$C$2:$C$15,MATCH(B225,'المناطق Regions'!$A$2:$A$15,0)),"")</f>
        <v>Riyadh</v>
      </c>
      <c r="J225" s="18" t="str">
        <f>F225&amp;", "&amp;E225&amp;", Saudi Arabia"</f>
        <v>العدامة, القويعيه, Saudi Arabia</v>
      </c>
      <c r="K225" s="18">
        <v>23.301634</v>
      </c>
      <c r="L225" s="18">
        <v>44.422712</v>
      </c>
      <c r="M225" s="18">
        <v>205252</v>
      </c>
      <c r="N225" s="18" t="s">
        <v>927</v>
      </c>
    </row>
    <row r="226" ht="15" customHeight="1" spans="1:14" x14ac:dyDescent="0.25">
      <c r="A226" s="11" t="s">
        <v>1014</v>
      </c>
      <c r="B226" s="11">
        <v>1</v>
      </c>
      <c r="C226" s="12" t="s">
        <v>44</v>
      </c>
      <c r="D226" s="11" t="s">
        <v>125</v>
      </c>
      <c r="E226" s="12" t="s">
        <v>126</v>
      </c>
      <c r="F226" s="12" t="s">
        <v>1015</v>
      </c>
      <c r="G226" s="11" t="s">
        <v>149</v>
      </c>
      <c r="H226" s="18" t="str">
        <f>IFERROR(INDEX('المحافظات Governorates'!$E$2:$E$151,MATCH(D226,'المحافظات Governorates'!$A$2:$A$151,0)),"")</f>
        <v>Al-Quwayiyah</v>
      </c>
      <c r="I226" s="18" t="str">
        <f>IFERROR(INDEX('المناطق Regions'!$C$2:$C$15,MATCH(B226,'المناطق Regions'!$A$2:$A$15,0)),"")</f>
        <v>Riyadh</v>
      </c>
      <c r="J226" s="18" t="str">
        <f>F226&amp;", "&amp;E226&amp;", Saudi Arabia"</f>
        <v>الجلة, القويعيه, Saudi Arabia</v>
      </c>
      <c r="K226" s="18">
        <v>23.580056</v>
      </c>
      <c r="L226" s="18">
        <v>43.783793</v>
      </c>
      <c r="M226" s="18">
        <v>2000</v>
      </c>
      <c r="N226" s="18" t="s">
        <v>562</v>
      </c>
    </row>
    <row r="227" ht="15" customHeight="1" spans="1:14" x14ac:dyDescent="0.25">
      <c r="A227" s="13" t="s">
        <v>1016</v>
      </c>
      <c r="B227" s="13">
        <v>1</v>
      </c>
      <c r="C227" s="14" t="s">
        <v>44</v>
      </c>
      <c r="D227" s="13" t="s">
        <v>125</v>
      </c>
      <c r="E227" s="14" t="s">
        <v>126</v>
      </c>
      <c r="F227" s="14" t="s">
        <v>1017</v>
      </c>
      <c r="G227" s="13" t="s">
        <v>149</v>
      </c>
      <c r="H227" s="18" t="str">
        <f>IFERROR(INDEX('المحافظات Governorates'!$E$2:$E$151,MATCH(D227,'المحافظات Governorates'!$A$2:$A$151,0)),"")</f>
        <v>Al-Quwayiyah</v>
      </c>
      <c r="I227" s="18" t="str">
        <f>IFERROR(INDEX('المناطق Regions'!$C$2:$C$15,MATCH(B227,'المناطق Regions'!$A$2:$A$15,0)),"")</f>
        <v>Riyadh</v>
      </c>
      <c r="J227" s="18" t="str">
        <f>F227&amp;", "&amp;E227&amp;", Saudi Arabia"</f>
        <v>فيضة أعبيلة, القويعيه, Saudi Arabia</v>
      </c>
      <c r="K227" s="18">
        <v>23.301634</v>
      </c>
      <c r="L227" s="18">
        <v>44.422712</v>
      </c>
      <c r="M227" s="18">
        <v>205252</v>
      </c>
      <c r="N227" s="18" t="s">
        <v>927</v>
      </c>
    </row>
    <row r="228" ht="15" customHeight="1" spans="1:14" x14ac:dyDescent="0.25">
      <c r="A228" s="11" t="s">
        <v>1018</v>
      </c>
      <c r="B228" s="11">
        <v>1</v>
      </c>
      <c r="C228" s="12" t="s">
        <v>44</v>
      </c>
      <c r="D228" s="11" t="s">
        <v>125</v>
      </c>
      <c r="E228" s="12" t="s">
        <v>126</v>
      </c>
      <c r="F228" s="12" t="s">
        <v>1019</v>
      </c>
      <c r="G228" s="11" t="s">
        <v>149</v>
      </c>
      <c r="H228" s="18" t="str">
        <f>IFERROR(INDEX('المحافظات Governorates'!$E$2:$E$151,MATCH(D228,'المحافظات Governorates'!$A$2:$A$151,0)),"")</f>
        <v>Al-Quwayiyah</v>
      </c>
      <c r="I228" s="18" t="str">
        <f>IFERROR(INDEX('المناطق Regions'!$C$2:$C$15,MATCH(B228,'المناطق Regions'!$A$2:$A$15,0)),"")</f>
        <v>Riyadh</v>
      </c>
      <c r="J228" s="18" t="str">
        <f>F228&amp;", "&amp;E228&amp;", Saudi Arabia"</f>
        <v>صبحاء القديمة, القويعيه, Saudi Arabia</v>
      </c>
      <c r="K228" s="18">
        <v>23.301634</v>
      </c>
      <c r="L228" s="18">
        <v>44.422712</v>
      </c>
      <c r="M228" s="18">
        <v>205252</v>
      </c>
      <c r="N228" s="18" t="s">
        <v>927</v>
      </c>
    </row>
    <row r="229" ht="15" customHeight="1" spans="1:14" x14ac:dyDescent="0.25">
      <c r="A229" s="13" t="s">
        <v>1020</v>
      </c>
      <c r="B229" s="13">
        <v>1</v>
      </c>
      <c r="C229" s="14" t="s">
        <v>44</v>
      </c>
      <c r="D229" s="13" t="s">
        <v>128</v>
      </c>
      <c r="E229" s="14" t="s">
        <v>129</v>
      </c>
      <c r="F229" s="14" t="s">
        <v>1021</v>
      </c>
      <c r="G229" s="13" t="s">
        <v>113</v>
      </c>
      <c r="H229" s="18" t="str">
        <f>IFERROR(INDEX('المحافظات Governorates'!$E$2:$E$151,MATCH(D229,'المحافظات Governorates'!$A$2:$A$151,0)),"")</f>
        <v>Wadi Ad-Dawasir</v>
      </c>
      <c r="I229" s="18" t="str">
        <f>IFERROR(INDEX('المناطق Regions'!$C$2:$C$15,MATCH(B229,'المناطق Regions'!$A$2:$A$15,0)),"")</f>
        <v>Riyadh</v>
      </c>
      <c r="J229" s="18" t="str">
        <f>F229&amp;", "&amp;E229&amp;", Saudi Arabia"</f>
        <v>كمده, وادى الدواسر, Saudi Arabia</v>
      </c>
      <c r="K229" s="18">
        <v>20.389237</v>
      </c>
      <c r="L229" s="18">
        <v>45.07618</v>
      </c>
      <c r="M229" s="18">
        <v>2000</v>
      </c>
      <c r="N229" s="18" t="s">
        <v>562</v>
      </c>
    </row>
    <row r="230" ht="15" customHeight="1" spans="1:14" x14ac:dyDescent="0.25">
      <c r="A230" s="11" t="s">
        <v>1022</v>
      </c>
      <c r="B230" s="11">
        <v>1</v>
      </c>
      <c r="C230" s="12" t="s">
        <v>44</v>
      </c>
      <c r="D230" s="11" t="s">
        <v>128</v>
      </c>
      <c r="E230" s="12" t="s">
        <v>129</v>
      </c>
      <c r="F230" s="12" t="s">
        <v>1023</v>
      </c>
      <c r="G230" s="11" t="s">
        <v>149</v>
      </c>
      <c r="H230" s="18" t="str">
        <f>IFERROR(INDEX('المحافظات Governorates'!$E$2:$E$151,MATCH(D230,'المحافظات Governorates'!$A$2:$A$151,0)),"")</f>
        <v>Wadi Ad-Dawasir</v>
      </c>
      <c r="I230" s="18" t="str">
        <f>IFERROR(INDEX('المناطق Regions'!$C$2:$C$15,MATCH(B230,'المناطق Regions'!$A$2:$A$15,0)),"")</f>
        <v>Riyadh</v>
      </c>
      <c r="J230" s="18" t="str">
        <f>F230&amp;", "&amp;E230&amp;", Saudi Arabia"</f>
        <v>الفاو, وادى الدواسر, Saudi Arabia</v>
      </c>
      <c r="K230" s="18">
        <v>19.783164</v>
      </c>
      <c r="L230" s="18">
        <v>45.140355</v>
      </c>
      <c r="M230" s="18">
        <v>2000</v>
      </c>
      <c r="N230" s="18" t="s">
        <v>562</v>
      </c>
    </row>
    <row r="231" ht="15" customHeight="1" spans="1:14" x14ac:dyDescent="0.25">
      <c r="A231" s="13" t="s">
        <v>1024</v>
      </c>
      <c r="B231" s="13">
        <v>1</v>
      </c>
      <c r="C231" s="14" t="s">
        <v>44</v>
      </c>
      <c r="D231" s="13" t="s">
        <v>128</v>
      </c>
      <c r="E231" s="14" t="s">
        <v>129</v>
      </c>
      <c r="F231" s="14" t="s">
        <v>1025</v>
      </c>
      <c r="G231" s="13" t="s">
        <v>149</v>
      </c>
      <c r="H231" s="18" t="str">
        <f>IFERROR(INDEX('المحافظات Governorates'!$E$2:$E$151,MATCH(D231,'المحافظات Governorates'!$A$2:$A$151,0)),"")</f>
        <v>Wadi Ad-Dawasir</v>
      </c>
      <c r="I231" s="18" t="str">
        <f>IFERROR(INDEX('المناطق Regions'!$C$2:$C$15,MATCH(B231,'المناطق Regions'!$A$2:$A$15,0)),"")</f>
        <v>Riyadh</v>
      </c>
      <c r="J231" s="18" t="str">
        <f>F231&amp;", "&amp;E231&amp;", Saudi Arabia"</f>
        <v>العسيلة, وادى الدواسر, Saudi Arabia</v>
      </c>
      <c r="K231" s="18">
        <v>21.584795</v>
      </c>
      <c r="L231" s="18">
        <v>44.090825</v>
      </c>
      <c r="M231" s="18">
        <v>2000</v>
      </c>
      <c r="N231" s="18" t="s">
        <v>562</v>
      </c>
    </row>
    <row r="232" ht="15" customHeight="1" spans="1:14" x14ac:dyDescent="0.25">
      <c r="A232" s="11" t="s">
        <v>1026</v>
      </c>
      <c r="B232" s="11">
        <v>1</v>
      </c>
      <c r="C232" s="12" t="s">
        <v>44</v>
      </c>
      <c r="D232" s="11" t="s">
        <v>128</v>
      </c>
      <c r="E232" s="12" t="s">
        <v>129</v>
      </c>
      <c r="F232" s="12" t="s">
        <v>1027</v>
      </c>
      <c r="G232" s="11" t="s">
        <v>149</v>
      </c>
      <c r="H232" s="18" t="str">
        <f>IFERROR(INDEX('المحافظات Governorates'!$E$2:$E$151,MATCH(D232,'المحافظات Governorates'!$A$2:$A$151,0)),"")</f>
        <v>Wadi Ad-Dawasir</v>
      </c>
      <c r="I232" s="18" t="str">
        <f>IFERROR(INDEX('المناطق Regions'!$C$2:$C$15,MATCH(B232,'المناطق Regions'!$A$2:$A$15,0)),"")</f>
        <v>Riyadh</v>
      </c>
      <c r="J232" s="18" t="str">
        <f>F232&amp;", "&amp;E232&amp;", Saudi Arabia"</f>
        <v>صيحه, وادى الدواسر, Saudi Arabia</v>
      </c>
      <c r="K232" s="18">
        <v>21.056692</v>
      </c>
      <c r="L232" s="18">
        <v>44.607418</v>
      </c>
      <c r="M232" s="18">
        <v>221455</v>
      </c>
      <c r="N232" s="18" t="s">
        <v>1028</v>
      </c>
    </row>
    <row r="233" ht="15" customHeight="1" spans="1:14" x14ac:dyDescent="0.25">
      <c r="A233" s="13" t="s">
        <v>1029</v>
      </c>
      <c r="B233" s="13">
        <v>1</v>
      </c>
      <c r="C233" s="14" t="s">
        <v>44</v>
      </c>
      <c r="D233" s="13" t="s">
        <v>128</v>
      </c>
      <c r="E233" s="14" t="s">
        <v>129</v>
      </c>
      <c r="F233" s="14" t="s">
        <v>1030</v>
      </c>
      <c r="G233" s="13" t="s">
        <v>149</v>
      </c>
      <c r="H233" s="18" t="str">
        <f>IFERROR(INDEX('المحافظات Governorates'!$E$2:$E$151,MATCH(D233,'المحافظات Governorates'!$A$2:$A$151,0)),"")</f>
        <v>Wadi Ad-Dawasir</v>
      </c>
      <c r="I233" s="18" t="str">
        <f>IFERROR(INDEX('المناطق Regions'!$C$2:$C$15,MATCH(B233,'المناطق Regions'!$A$2:$A$15,0)),"")</f>
        <v>Riyadh</v>
      </c>
      <c r="J233" s="18" t="str">
        <f>F233&amp;", "&amp;E233&amp;", Saudi Arabia"</f>
        <v>المصارير, وادى الدواسر, Saudi Arabia</v>
      </c>
      <c r="K233" s="18">
        <v>21.056692</v>
      </c>
      <c r="L233" s="18">
        <v>44.607418</v>
      </c>
      <c r="M233" s="18">
        <v>221455</v>
      </c>
      <c r="N233" s="18" t="s">
        <v>1028</v>
      </c>
    </row>
    <row r="234" ht="15" customHeight="1" spans="1:14" x14ac:dyDescent="0.25">
      <c r="A234" s="11" t="s">
        <v>1031</v>
      </c>
      <c r="B234" s="11">
        <v>1</v>
      </c>
      <c r="C234" s="12" t="s">
        <v>44</v>
      </c>
      <c r="D234" s="11" t="s">
        <v>128</v>
      </c>
      <c r="E234" s="12" t="s">
        <v>129</v>
      </c>
      <c r="F234" s="12" t="s">
        <v>1032</v>
      </c>
      <c r="G234" s="11" t="s">
        <v>149</v>
      </c>
      <c r="H234" s="18" t="str">
        <f>IFERROR(INDEX('المحافظات Governorates'!$E$2:$E$151,MATCH(D234,'المحافظات Governorates'!$A$2:$A$151,0)),"")</f>
        <v>Wadi Ad-Dawasir</v>
      </c>
      <c r="I234" s="18" t="str">
        <f>IFERROR(INDEX('المناطق Regions'!$C$2:$C$15,MATCH(B234,'المناطق Regions'!$A$2:$A$15,0)),"")</f>
        <v>Riyadh</v>
      </c>
      <c r="J234" s="18" t="str">
        <f>F234&amp;", "&amp;E234&amp;", Saudi Arabia"</f>
        <v>همجات بني بدوة, وادى الدواسر, Saudi Arabia</v>
      </c>
      <c r="K234" s="18">
        <v>21.056692</v>
      </c>
      <c r="L234" s="18">
        <v>44.607418</v>
      </c>
      <c r="M234" s="18">
        <v>221455</v>
      </c>
      <c r="N234" s="18" t="s">
        <v>1028</v>
      </c>
    </row>
    <row r="235" ht="15" customHeight="1" spans="1:14" x14ac:dyDescent="0.25">
      <c r="A235" s="13" t="s">
        <v>1033</v>
      </c>
      <c r="B235" s="13">
        <v>1</v>
      </c>
      <c r="C235" s="14" t="s">
        <v>44</v>
      </c>
      <c r="D235" s="13" t="s">
        <v>128</v>
      </c>
      <c r="E235" s="14" t="s">
        <v>129</v>
      </c>
      <c r="F235" s="14" t="s">
        <v>1034</v>
      </c>
      <c r="G235" s="13" t="s">
        <v>149</v>
      </c>
      <c r="H235" s="18" t="str">
        <f>IFERROR(INDEX('المحافظات Governorates'!$E$2:$E$151,MATCH(D235,'المحافظات Governorates'!$A$2:$A$151,0)),"")</f>
        <v>Wadi Ad-Dawasir</v>
      </c>
      <c r="I235" s="18" t="str">
        <f>IFERROR(INDEX('المناطق Regions'!$C$2:$C$15,MATCH(B235,'المناطق Regions'!$A$2:$A$15,0)),"")</f>
        <v>Riyadh</v>
      </c>
      <c r="J235" s="18" t="str">
        <f>F235&amp;", "&amp;E235&amp;", Saudi Arabia"</f>
        <v>بلثقاء, وادى الدواسر, Saudi Arabia</v>
      </c>
      <c r="K235" s="18">
        <v>21.657357</v>
      </c>
      <c r="L235" s="18">
        <v>43.979539</v>
      </c>
      <c r="M235" s="18">
        <v>2000</v>
      </c>
      <c r="N235" s="18" t="s">
        <v>562</v>
      </c>
    </row>
    <row r="236" ht="15" customHeight="1" spans="1:14" x14ac:dyDescent="0.25">
      <c r="A236" s="11" t="s">
        <v>1035</v>
      </c>
      <c r="B236" s="11">
        <v>1</v>
      </c>
      <c r="C236" s="12" t="s">
        <v>44</v>
      </c>
      <c r="D236" s="11" t="s">
        <v>128</v>
      </c>
      <c r="E236" s="12" t="s">
        <v>129</v>
      </c>
      <c r="F236" s="12" t="s">
        <v>1036</v>
      </c>
      <c r="G236" s="11" t="s">
        <v>149</v>
      </c>
      <c r="H236" s="18" t="str">
        <f>IFERROR(INDEX('المحافظات Governorates'!$E$2:$E$151,MATCH(D236,'المحافظات Governorates'!$A$2:$A$151,0)),"")</f>
        <v>Wadi Ad-Dawasir</v>
      </c>
      <c r="I236" s="18" t="str">
        <f>IFERROR(INDEX('المناطق Regions'!$C$2:$C$15,MATCH(B236,'المناطق Regions'!$A$2:$A$15,0)),"")</f>
        <v>Riyadh</v>
      </c>
      <c r="J236" s="18" t="str">
        <f>F236&amp;", "&amp;E236&amp;", Saudi Arabia"</f>
        <v>النميص, وادى الدواسر, Saudi Arabia</v>
      </c>
      <c r="K236" s="18">
        <v>21.056692</v>
      </c>
      <c r="L236" s="18">
        <v>44.607418</v>
      </c>
      <c r="M236" s="18">
        <v>221455</v>
      </c>
      <c r="N236" s="18" t="s">
        <v>1028</v>
      </c>
    </row>
    <row r="237" ht="15" customHeight="1" spans="1:14" x14ac:dyDescent="0.25">
      <c r="A237" s="13" t="s">
        <v>1037</v>
      </c>
      <c r="B237" s="13">
        <v>1</v>
      </c>
      <c r="C237" s="14" t="s">
        <v>44</v>
      </c>
      <c r="D237" s="13" t="s">
        <v>128</v>
      </c>
      <c r="E237" s="14" t="s">
        <v>129</v>
      </c>
      <c r="F237" s="14" t="s">
        <v>1038</v>
      </c>
      <c r="G237" s="13" t="s">
        <v>149</v>
      </c>
      <c r="H237" s="18" t="str">
        <f>IFERROR(INDEX('المحافظات Governorates'!$E$2:$E$151,MATCH(D237,'المحافظات Governorates'!$A$2:$A$151,0)),"")</f>
        <v>Wadi Ad-Dawasir</v>
      </c>
      <c r="I237" s="18" t="str">
        <f>IFERROR(INDEX('المناطق Regions'!$C$2:$C$15,MATCH(B237,'المناطق Regions'!$A$2:$A$15,0)),"")</f>
        <v>Riyadh</v>
      </c>
      <c r="J237" s="18" t="str">
        <f>F237&amp;", "&amp;E237&amp;", Saudi Arabia"</f>
        <v>الحمره, وادى الدواسر, Saudi Arabia</v>
      </c>
      <c r="K237" s="18">
        <v>21.774938</v>
      </c>
      <c r="L237" s="18">
        <v>43.85206</v>
      </c>
      <c r="M237" s="18">
        <v>2000</v>
      </c>
      <c r="N237" s="18" t="s">
        <v>562</v>
      </c>
    </row>
    <row r="238" ht="15" customHeight="1" spans="1:14" x14ac:dyDescent="0.25">
      <c r="A238" s="11" t="s">
        <v>1039</v>
      </c>
      <c r="B238" s="11">
        <v>1</v>
      </c>
      <c r="C238" s="12" t="s">
        <v>44</v>
      </c>
      <c r="D238" s="11" t="s">
        <v>131</v>
      </c>
      <c r="E238" s="12" t="s">
        <v>132</v>
      </c>
      <c r="F238" s="12" t="s">
        <v>1040</v>
      </c>
      <c r="G238" s="11" t="s">
        <v>113</v>
      </c>
      <c r="H238" s="18" t="str">
        <f>IFERROR(INDEX('المحافظات Governorates'!$E$2:$E$151,MATCH(D238,'المحافظات Governorates'!$A$2:$A$151,0)),"")</f>
        <v>Al-Aflaj</v>
      </c>
      <c r="I238" s="18" t="str">
        <f>IFERROR(INDEX('المناطق Regions'!$C$2:$C$15,MATCH(B238,'المناطق Regions'!$A$2:$A$15,0)),"")</f>
        <v>Riyadh</v>
      </c>
      <c r="J238" s="18" t="str">
        <f>F238&amp;", "&amp;E238&amp;", Saudi Arabia"</f>
        <v>الهدار, الافلاج, Saudi Arabia</v>
      </c>
      <c r="K238" s="18">
        <v>21.982778</v>
      </c>
      <c r="L238" s="18">
        <v>45.961389</v>
      </c>
      <c r="M238" s="18">
        <v>2000</v>
      </c>
      <c r="N238" s="18" t="s">
        <v>562</v>
      </c>
    </row>
    <row r="239" ht="15" customHeight="1" spans="1:14" x14ac:dyDescent="0.25">
      <c r="A239" s="13" t="s">
        <v>1041</v>
      </c>
      <c r="B239" s="13">
        <v>1</v>
      </c>
      <c r="C239" s="14" t="s">
        <v>44</v>
      </c>
      <c r="D239" s="13" t="s">
        <v>131</v>
      </c>
      <c r="E239" s="14" t="s">
        <v>132</v>
      </c>
      <c r="F239" s="14" t="s">
        <v>1042</v>
      </c>
      <c r="G239" s="13" t="s">
        <v>113</v>
      </c>
      <c r="H239" s="18" t="str">
        <f>IFERROR(INDEX('المحافظات Governorates'!$E$2:$E$151,MATCH(D239,'المحافظات Governorates'!$A$2:$A$151,0)),"")</f>
        <v>Al-Aflaj</v>
      </c>
      <c r="I239" s="18" t="str">
        <f>IFERROR(INDEX('المناطق Regions'!$C$2:$C$15,MATCH(B239,'المناطق Regions'!$A$2:$A$15,0)),"")</f>
        <v>Riyadh</v>
      </c>
      <c r="J239" s="18" t="str">
        <f>F239&amp;", "&amp;E239&amp;", Saudi Arabia"</f>
        <v>الاحمر, الافلاج, Saudi Arabia</v>
      </c>
      <c r="K239" s="18">
        <v>22.435812</v>
      </c>
      <c r="L239" s="18">
        <v>46.192125</v>
      </c>
      <c r="M239" s="18">
        <v>2000</v>
      </c>
      <c r="N239" s="18" t="s">
        <v>562</v>
      </c>
    </row>
    <row r="240" ht="15" customHeight="1" spans="1:14" x14ac:dyDescent="0.25">
      <c r="A240" s="11" t="s">
        <v>1043</v>
      </c>
      <c r="B240" s="11">
        <v>1</v>
      </c>
      <c r="C240" s="12" t="s">
        <v>44</v>
      </c>
      <c r="D240" s="11" t="s">
        <v>131</v>
      </c>
      <c r="E240" s="12" t="s">
        <v>132</v>
      </c>
      <c r="F240" s="12" t="s">
        <v>1044</v>
      </c>
      <c r="G240" s="11" t="s">
        <v>149</v>
      </c>
      <c r="H240" s="18" t="str">
        <f>IFERROR(INDEX('المحافظات Governorates'!$E$2:$E$151,MATCH(D240,'المحافظات Governorates'!$A$2:$A$151,0)),"")</f>
        <v>Al-Aflaj</v>
      </c>
      <c r="I240" s="18" t="str">
        <f>IFERROR(INDEX('المناطق Regions'!$C$2:$C$15,MATCH(B240,'المناطق Regions'!$A$2:$A$15,0)),"")</f>
        <v>Riyadh</v>
      </c>
      <c r="J240" s="18" t="str">
        <f>F240&amp;", "&amp;E240&amp;", Saudi Arabia"</f>
        <v>البديع الشمالى, الافلاج, Saudi Arabia</v>
      </c>
      <c r="K240" s="18">
        <v>22.023293</v>
      </c>
      <c r="L240" s="18">
        <v>46.562091</v>
      </c>
      <c r="M240" s="18">
        <v>2000</v>
      </c>
      <c r="N240" s="18" t="s">
        <v>562</v>
      </c>
    </row>
    <row r="241" ht="15" customHeight="1" spans="1:14" x14ac:dyDescent="0.25">
      <c r="A241" s="13" t="s">
        <v>1045</v>
      </c>
      <c r="B241" s="13">
        <v>1</v>
      </c>
      <c r="C241" s="14" t="s">
        <v>44</v>
      </c>
      <c r="D241" s="13" t="s">
        <v>131</v>
      </c>
      <c r="E241" s="14" t="s">
        <v>132</v>
      </c>
      <c r="F241" s="14" t="s">
        <v>1046</v>
      </c>
      <c r="G241" s="13" t="s">
        <v>149</v>
      </c>
      <c r="H241" s="18" t="str">
        <f>IFERROR(INDEX('المحافظات Governorates'!$E$2:$E$151,MATCH(D241,'المحافظات Governorates'!$A$2:$A$151,0)),"")</f>
        <v>Al-Aflaj</v>
      </c>
      <c r="I241" s="18" t="str">
        <f>IFERROR(INDEX('المناطق Regions'!$C$2:$C$15,MATCH(B241,'المناطق Regions'!$A$2:$A$15,0)),"")</f>
        <v>Riyadh</v>
      </c>
      <c r="J241" s="18" t="str">
        <f>F241&amp;", "&amp;E241&amp;", Saudi Arabia"</f>
        <v>البديع الجنوبي, الافلاج, Saudi Arabia</v>
      </c>
      <c r="K241" s="18">
        <v>22.003988</v>
      </c>
      <c r="L241" s="18">
        <v>46.565927</v>
      </c>
      <c r="M241" s="18">
        <v>2000</v>
      </c>
      <c r="N241" s="18" t="s">
        <v>562</v>
      </c>
    </row>
    <row r="242" ht="15" customHeight="1" spans="1:14" x14ac:dyDescent="0.25">
      <c r="A242" s="11" t="s">
        <v>1047</v>
      </c>
      <c r="B242" s="11">
        <v>1</v>
      </c>
      <c r="C242" s="12" t="s">
        <v>44</v>
      </c>
      <c r="D242" s="11" t="s">
        <v>131</v>
      </c>
      <c r="E242" s="12" t="s">
        <v>132</v>
      </c>
      <c r="F242" s="12" t="s">
        <v>1048</v>
      </c>
      <c r="G242" s="11" t="s">
        <v>149</v>
      </c>
      <c r="H242" s="18" t="str">
        <f>IFERROR(INDEX('المحافظات Governorates'!$E$2:$E$151,MATCH(D242,'المحافظات Governorates'!$A$2:$A$151,0)),"")</f>
        <v>Al-Aflaj</v>
      </c>
      <c r="I242" s="18" t="str">
        <f>IFERROR(INDEX('المناطق Regions'!$C$2:$C$15,MATCH(B242,'المناطق Regions'!$A$2:$A$15,0)),"")</f>
        <v>Riyadh</v>
      </c>
      <c r="J242" s="18" t="str">
        <f>F242&amp;", "&amp;E242&amp;", Saudi Arabia"</f>
        <v>السيح الشمالي (القطين), الافلاج, Saudi Arabia</v>
      </c>
      <c r="K242" s="18">
        <v>22.085136</v>
      </c>
      <c r="L242" s="18">
        <v>46.851078</v>
      </c>
      <c r="M242" s="18">
        <v>196561</v>
      </c>
      <c r="N242" s="18" t="s">
        <v>1049</v>
      </c>
    </row>
    <row r="243" ht="15" customHeight="1" spans="1:14" x14ac:dyDescent="0.25">
      <c r="A243" s="13" t="s">
        <v>1050</v>
      </c>
      <c r="B243" s="13">
        <v>1</v>
      </c>
      <c r="C243" s="14" t="s">
        <v>44</v>
      </c>
      <c r="D243" s="13" t="s">
        <v>131</v>
      </c>
      <c r="E243" s="14" t="s">
        <v>132</v>
      </c>
      <c r="F243" s="14" t="s">
        <v>1051</v>
      </c>
      <c r="G243" s="13" t="s">
        <v>149</v>
      </c>
      <c r="H243" s="18" t="str">
        <f>IFERROR(INDEX('المحافظات Governorates'!$E$2:$E$151,MATCH(D243,'المحافظات Governorates'!$A$2:$A$151,0)),"")</f>
        <v>Al-Aflaj</v>
      </c>
      <c r="I243" s="18" t="str">
        <f>IFERROR(INDEX('المناطق Regions'!$C$2:$C$15,MATCH(B243,'المناطق Regions'!$A$2:$A$15,0)),"")</f>
        <v>Riyadh</v>
      </c>
      <c r="J243" s="18" t="str">
        <f>F243&amp;", "&amp;E243&amp;", Saudi Arabia"</f>
        <v>حراضه, الافلاج, Saudi Arabia</v>
      </c>
      <c r="K243" s="18">
        <v>22.753393</v>
      </c>
      <c r="L243" s="18">
        <v>46.266689</v>
      </c>
      <c r="M243" s="18">
        <v>2000</v>
      </c>
      <c r="N243" s="18" t="s">
        <v>562</v>
      </c>
    </row>
    <row r="244" ht="15" customHeight="1" spans="1:14" x14ac:dyDescent="0.25">
      <c r="A244" s="11" t="s">
        <v>1052</v>
      </c>
      <c r="B244" s="11">
        <v>1</v>
      </c>
      <c r="C244" s="12" t="s">
        <v>44</v>
      </c>
      <c r="D244" s="11" t="s">
        <v>131</v>
      </c>
      <c r="E244" s="12" t="s">
        <v>132</v>
      </c>
      <c r="F244" s="12" t="s">
        <v>1053</v>
      </c>
      <c r="G244" s="11" t="s">
        <v>149</v>
      </c>
      <c r="H244" s="18" t="str">
        <f>IFERROR(INDEX('المحافظات Governorates'!$E$2:$E$151,MATCH(D244,'المحافظات Governorates'!$A$2:$A$151,0)),"")</f>
        <v>Al-Aflaj</v>
      </c>
      <c r="I244" s="18" t="str">
        <f>IFERROR(INDEX('المناطق Regions'!$C$2:$C$15,MATCH(B244,'المناطق Regions'!$A$2:$A$15,0)),"")</f>
        <v>Riyadh</v>
      </c>
      <c r="J244" s="18" t="str">
        <f>F244&amp;", "&amp;E244&amp;", Saudi Arabia"</f>
        <v>واسط, الافلاج, Saudi Arabia</v>
      </c>
      <c r="K244" s="18">
        <v>22.382234</v>
      </c>
      <c r="L244" s="18">
        <v>46.272487</v>
      </c>
      <c r="M244" s="18">
        <v>2000</v>
      </c>
      <c r="N244" s="18" t="s">
        <v>562</v>
      </c>
    </row>
    <row r="245" ht="15" customHeight="1" spans="1:14" x14ac:dyDescent="0.25">
      <c r="A245" s="13" t="s">
        <v>1054</v>
      </c>
      <c r="B245" s="13">
        <v>1</v>
      </c>
      <c r="C245" s="14" t="s">
        <v>44</v>
      </c>
      <c r="D245" s="13" t="s">
        <v>131</v>
      </c>
      <c r="E245" s="14" t="s">
        <v>132</v>
      </c>
      <c r="F245" s="14" t="s">
        <v>1055</v>
      </c>
      <c r="G245" s="13" t="s">
        <v>149</v>
      </c>
      <c r="H245" s="18" t="str">
        <f>IFERROR(INDEX('المحافظات Governorates'!$E$2:$E$151,MATCH(D245,'المحافظات Governorates'!$A$2:$A$151,0)),"")</f>
        <v>Al-Aflaj</v>
      </c>
      <c r="I245" s="18" t="str">
        <f>IFERROR(INDEX('المناطق Regions'!$C$2:$C$15,MATCH(B245,'المناطق Regions'!$A$2:$A$15,0)),"")</f>
        <v>Riyadh</v>
      </c>
      <c r="J245" s="18" t="str">
        <f>F245&amp;", "&amp;E245&amp;", Saudi Arabia"</f>
        <v>السيح الجنوبي, الافلاج, Saudi Arabia</v>
      </c>
      <c r="K245" s="18">
        <v>22.085136</v>
      </c>
      <c r="L245" s="18">
        <v>46.851078</v>
      </c>
      <c r="M245" s="18">
        <v>196561</v>
      </c>
      <c r="N245" s="18" t="s">
        <v>1049</v>
      </c>
    </row>
    <row r="246" ht="15" customHeight="1" spans="1:14" x14ac:dyDescent="0.25">
      <c r="A246" s="11" t="s">
        <v>1056</v>
      </c>
      <c r="B246" s="11">
        <v>1</v>
      </c>
      <c r="C246" s="12" t="s">
        <v>44</v>
      </c>
      <c r="D246" s="11" t="s">
        <v>131</v>
      </c>
      <c r="E246" s="12" t="s">
        <v>132</v>
      </c>
      <c r="F246" s="12" t="s">
        <v>1057</v>
      </c>
      <c r="G246" s="11" t="s">
        <v>149</v>
      </c>
      <c r="H246" s="18" t="str">
        <f>IFERROR(INDEX('المحافظات Governorates'!$E$2:$E$151,MATCH(D246,'المحافظات Governorates'!$A$2:$A$151,0)),"")</f>
        <v>Al-Aflaj</v>
      </c>
      <c r="I246" s="18" t="str">
        <f>IFERROR(INDEX('المناطق Regions'!$C$2:$C$15,MATCH(B246,'المناطق Regions'!$A$2:$A$15,0)),"")</f>
        <v>Riyadh</v>
      </c>
      <c r="J246" s="18" t="str">
        <f>F246&amp;", "&amp;E246&amp;", Saudi Arabia"</f>
        <v>رفاع السيح الشمالي, الافلاج, Saudi Arabia</v>
      </c>
      <c r="K246" s="18">
        <v>22.085136</v>
      </c>
      <c r="L246" s="18">
        <v>46.851078</v>
      </c>
      <c r="M246" s="18">
        <v>196561</v>
      </c>
      <c r="N246" s="18" t="s">
        <v>1049</v>
      </c>
    </row>
    <row r="247" ht="15" customHeight="1" spans="1:14" x14ac:dyDescent="0.25">
      <c r="A247" s="13" t="s">
        <v>1058</v>
      </c>
      <c r="B247" s="13">
        <v>1</v>
      </c>
      <c r="C247" s="14" t="s">
        <v>44</v>
      </c>
      <c r="D247" s="13" t="s">
        <v>131</v>
      </c>
      <c r="E247" s="14" t="s">
        <v>132</v>
      </c>
      <c r="F247" s="14" t="s">
        <v>1059</v>
      </c>
      <c r="G247" s="13" t="s">
        <v>149</v>
      </c>
      <c r="H247" s="18" t="str">
        <f>IFERROR(INDEX('المحافظات Governorates'!$E$2:$E$151,MATCH(D247,'المحافظات Governorates'!$A$2:$A$151,0)),"")</f>
        <v>Al-Aflaj</v>
      </c>
      <c r="I247" s="18" t="str">
        <f>IFERROR(INDEX('المناطق Regions'!$C$2:$C$15,MATCH(B247,'المناطق Regions'!$A$2:$A$15,0)),"")</f>
        <v>Riyadh</v>
      </c>
      <c r="J247" s="18" t="str">
        <f>F247&amp;", "&amp;E247&amp;", Saudi Arabia"</f>
        <v>ستاره, الافلاج, Saudi Arabia</v>
      </c>
      <c r="K247" s="18">
        <v>22.605314</v>
      </c>
      <c r="L247" s="18">
        <v>46.376209</v>
      </c>
      <c r="M247" s="18">
        <v>2000</v>
      </c>
      <c r="N247" s="18" t="s">
        <v>562</v>
      </c>
    </row>
    <row r="248" ht="15" customHeight="1" spans="1:14" x14ac:dyDescent="0.25">
      <c r="A248" s="11" t="s">
        <v>1060</v>
      </c>
      <c r="B248" s="11">
        <v>1</v>
      </c>
      <c r="C248" s="12" t="s">
        <v>44</v>
      </c>
      <c r="D248" s="11" t="s">
        <v>131</v>
      </c>
      <c r="E248" s="12" t="s">
        <v>132</v>
      </c>
      <c r="F248" s="12" t="s">
        <v>1061</v>
      </c>
      <c r="G248" s="11" t="s">
        <v>149</v>
      </c>
      <c r="H248" s="18" t="str">
        <f>IFERROR(INDEX('المحافظات Governorates'!$E$2:$E$151,MATCH(D248,'المحافظات Governorates'!$A$2:$A$151,0)),"")</f>
        <v>Al-Aflaj</v>
      </c>
      <c r="I248" s="18" t="str">
        <f>IFERROR(INDEX('المناطق Regions'!$C$2:$C$15,MATCH(B248,'المناطق Regions'!$A$2:$A$15,0)),"")</f>
        <v>Riyadh</v>
      </c>
      <c r="J248" s="18" t="str">
        <f>F248&amp;", "&amp;E248&amp;", Saudi Arabia"</f>
        <v>الغيل, الافلاج, Saudi Arabia</v>
      </c>
      <c r="K248" s="18">
        <v>22.569404</v>
      </c>
      <c r="L248" s="18">
        <v>46.528733</v>
      </c>
      <c r="M248" s="18">
        <v>2000</v>
      </c>
      <c r="N248" s="18" t="s">
        <v>562</v>
      </c>
    </row>
    <row r="249" ht="15" customHeight="1" spans="1:14" x14ac:dyDescent="0.25">
      <c r="A249" s="13" t="s">
        <v>1062</v>
      </c>
      <c r="B249" s="13">
        <v>1</v>
      </c>
      <c r="C249" s="14" t="s">
        <v>44</v>
      </c>
      <c r="D249" s="13" t="s">
        <v>131</v>
      </c>
      <c r="E249" s="14" t="s">
        <v>132</v>
      </c>
      <c r="F249" s="14" t="s">
        <v>1063</v>
      </c>
      <c r="G249" s="13" t="s">
        <v>149</v>
      </c>
      <c r="H249" s="18" t="str">
        <f>IFERROR(INDEX('المحافظات Governorates'!$E$2:$E$151,MATCH(D249,'المحافظات Governorates'!$A$2:$A$151,0)),"")</f>
        <v>Al-Aflaj</v>
      </c>
      <c r="I249" s="18" t="str">
        <f>IFERROR(INDEX('المناطق Regions'!$C$2:$C$15,MATCH(B249,'المناطق Regions'!$A$2:$A$15,0)),"")</f>
        <v>Riyadh</v>
      </c>
      <c r="J249" s="18" t="str">
        <f>F249&amp;", "&amp;E249&amp;", Saudi Arabia"</f>
        <v>الروضه, الافلاج, Saudi Arabia</v>
      </c>
      <c r="K249" s="18">
        <v>22.209419</v>
      </c>
      <c r="L249" s="18">
        <v>46.693783</v>
      </c>
      <c r="M249" s="18">
        <v>2000</v>
      </c>
      <c r="N249" s="18" t="s">
        <v>562</v>
      </c>
    </row>
    <row r="250" ht="15" customHeight="1" spans="1:14" x14ac:dyDescent="0.25">
      <c r="A250" s="11" t="s">
        <v>1064</v>
      </c>
      <c r="B250" s="11">
        <v>1</v>
      </c>
      <c r="C250" s="12" t="s">
        <v>44</v>
      </c>
      <c r="D250" s="11" t="s">
        <v>131</v>
      </c>
      <c r="E250" s="12" t="s">
        <v>132</v>
      </c>
      <c r="F250" s="12" t="s">
        <v>1065</v>
      </c>
      <c r="G250" s="11" t="s">
        <v>149</v>
      </c>
      <c r="H250" s="18" t="str">
        <f>IFERROR(INDEX('المحافظات Governorates'!$E$2:$E$151,MATCH(D250,'المحافظات Governorates'!$A$2:$A$151,0)),"")</f>
        <v>Al-Aflaj</v>
      </c>
      <c r="I250" s="18" t="str">
        <f>IFERROR(INDEX('المناطق Regions'!$C$2:$C$15,MATCH(B250,'المناطق Regions'!$A$2:$A$15,0)),"")</f>
        <v>Riyadh</v>
      </c>
      <c r="J250" s="18" t="str">
        <f>F250&amp;", "&amp;E250&amp;", Saudi Arabia"</f>
        <v>الصغو, الافلاج, Saudi Arabia</v>
      </c>
      <c r="K250" s="18">
        <v>22.085136</v>
      </c>
      <c r="L250" s="18">
        <v>46.851078</v>
      </c>
      <c r="M250" s="18">
        <v>196561</v>
      </c>
      <c r="N250" s="18" t="s">
        <v>1049</v>
      </c>
    </row>
    <row r="251" ht="15" customHeight="1" spans="1:14" x14ac:dyDescent="0.25">
      <c r="A251" s="13" t="s">
        <v>1066</v>
      </c>
      <c r="B251" s="13">
        <v>1</v>
      </c>
      <c r="C251" s="14" t="s">
        <v>44</v>
      </c>
      <c r="D251" s="13" t="s">
        <v>131</v>
      </c>
      <c r="E251" s="14" t="s">
        <v>132</v>
      </c>
      <c r="F251" s="14" t="s">
        <v>1067</v>
      </c>
      <c r="G251" s="13" t="s">
        <v>149</v>
      </c>
      <c r="H251" s="18" t="str">
        <f>IFERROR(INDEX('المحافظات Governorates'!$E$2:$E$151,MATCH(D251,'المحافظات Governorates'!$A$2:$A$151,0)),"")</f>
        <v>Al-Aflaj</v>
      </c>
      <c r="I251" s="18" t="str">
        <f>IFERROR(INDEX('المناطق Regions'!$C$2:$C$15,MATCH(B251,'المناطق Regions'!$A$2:$A$15,0)),"")</f>
        <v>Riyadh</v>
      </c>
      <c r="J251" s="18" t="str">
        <f>F251&amp;", "&amp;E251&amp;", Saudi Arabia"</f>
        <v>العمار, الافلاج, Saudi Arabia</v>
      </c>
      <c r="K251" s="18">
        <v>22.24661</v>
      </c>
      <c r="L251" s="18">
        <v>46.72653</v>
      </c>
      <c r="M251" s="18">
        <v>2000</v>
      </c>
      <c r="N251" s="18" t="s">
        <v>562</v>
      </c>
    </row>
    <row r="252" ht="15" customHeight="1" spans="1:14" x14ac:dyDescent="0.25">
      <c r="A252" s="11" t="s">
        <v>1068</v>
      </c>
      <c r="B252" s="11">
        <v>1</v>
      </c>
      <c r="C252" s="12" t="s">
        <v>44</v>
      </c>
      <c r="D252" s="11" t="s">
        <v>131</v>
      </c>
      <c r="E252" s="12" t="s">
        <v>132</v>
      </c>
      <c r="F252" s="12" t="s">
        <v>1069</v>
      </c>
      <c r="G252" s="11" t="s">
        <v>113</v>
      </c>
      <c r="H252" s="18" t="str">
        <f>IFERROR(INDEX('المحافظات Governorates'!$E$2:$E$151,MATCH(D252,'المحافظات Governorates'!$A$2:$A$151,0)),"")</f>
        <v>Al-Aflaj</v>
      </c>
      <c r="I252" s="18" t="str">
        <f>IFERROR(INDEX('المناطق Regions'!$C$2:$C$15,MATCH(B252,'المناطق Regions'!$A$2:$A$15,0)),"")</f>
        <v>Riyadh</v>
      </c>
      <c r="J252" s="18" t="str">
        <f>F252&amp;", "&amp;E252&amp;", Saudi Arabia"</f>
        <v>السيح, الافلاج, Saudi Arabia</v>
      </c>
      <c r="K252" s="18">
        <v>22.221683</v>
      </c>
      <c r="L252" s="18">
        <v>46.773179</v>
      </c>
      <c r="M252" s="18">
        <v>2000</v>
      </c>
      <c r="N252" s="18" t="s">
        <v>562</v>
      </c>
    </row>
    <row r="253" ht="15" customHeight="1" spans="1:14" x14ac:dyDescent="0.25">
      <c r="A253" s="13" t="s">
        <v>1070</v>
      </c>
      <c r="B253" s="13">
        <v>1</v>
      </c>
      <c r="C253" s="14" t="s">
        <v>44</v>
      </c>
      <c r="D253" s="13" t="s">
        <v>131</v>
      </c>
      <c r="E253" s="14" t="s">
        <v>132</v>
      </c>
      <c r="F253" s="14" t="s">
        <v>1071</v>
      </c>
      <c r="G253" s="13" t="s">
        <v>149</v>
      </c>
      <c r="H253" s="18" t="str">
        <f>IFERROR(INDEX('المحافظات Governorates'!$E$2:$E$151,MATCH(D253,'المحافظات Governorates'!$A$2:$A$151,0)),"")</f>
        <v>Al-Aflaj</v>
      </c>
      <c r="I253" s="18" t="str">
        <f>IFERROR(INDEX('المناطق Regions'!$C$2:$C$15,MATCH(B253,'المناطق Regions'!$A$2:$A$15,0)),"")</f>
        <v>Riyadh</v>
      </c>
      <c r="J253" s="18" t="str">
        <f>F253&amp;", "&amp;E253&amp;", Saudi Arabia"</f>
        <v>مروان, الافلاج, Saudi Arabia</v>
      </c>
      <c r="K253" s="18">
        <v>22.057168</v>
      </c>
      <c r="L253" s="18">
        <v>46.67072</v>
      </c>
      <c r="M253" s="18">
        <v>2000</v>
      </c>
      <c r="N253" s="18" t="s">
        <v>562</v>
      </c>
    </row>
    <row r="254" ht="15" customHeight="1" spans="1:14" x14ac:dyDescent="0.25">
      <c r="A254" s="11" t="s">
        <v>1072</v>
      </c>
      <c r="B254" s="11">
        <v>1</v>
      </c>
      <c r="C254" s="12" t="s">
        <v>44</v>
      </c>
      <c r="D254" s="11" t="s">
        <v>131</v>
      </c>
      <c r="E254" s="12" t="s">
        <v>132</v>
      </c>
      <c r="F254" s="12" t="s">
        <v>1073</v>
      </c>
      <c r="G254" s="11" t="s">
        <v>149</v>
      </c>
      <c r="H254" s="18" t="str">
        <f>IFERROR(INDEX('المحافظات Governorates'!$E$2:$E$151,MATCH(D254,'المحافظات Governorates'!$A$2:$A$151,0)),"")</f>
        <v>Al-Aflaj</v>
      </c>
      <c r="I254" s="18" t="str">
        <f>IFERROR(INDEX('المناطق Regions'!$C$2:$C$15,MATCH(B254,'المناطق Regions'!$A$2:$A$15,0)),"")</f>
        <v>Riyadh</v>
      </c>
      <c r="J254" s="18" t="str">
        <f>F254&amp;", "&amp;E254&amp;", Saudi Arabia"</f>
        <v>سويدان, الافلاج, Saudi Arabia</v>
      </c>
      <c r="K254" s="18">
        <v>22.089939</v>
      </c>
      <c r="L254" s="18">
        <v>46.703268</v>
      </c>
      <c r="M254" s="18">
        <v>2000</v>
      </c>
      <c r="N254" s="18" t="s">
        <v>562</v>
      </c>
    </row>
    <row r="255" ht="15" customHeight="1" spans="1:14" x14ac:dyDescent="0.25">
      <c r="A255" s="13" t="s">
        <v>1074</v>
      </c>
      <c r="B255" s="13">
        <v>1</v>
      </c>
      <c r="C255" s="14" t="s">
        <v>44</v>
      </c>
      <c r="D255" s="13" t="s">
        <v>131</v>
      </c>
      <c r="E255" s="14" t="s">
        <v>132</v>
      </c>
      <c r="F255" s="14" t="s">
        <v>1075</v>
      </c>
      <c r="G255" s="13" t="s">
        <v>149</v>
      </c>
      <c r="H255" s="18" t="str">
        <f>IFERROR(INDEX('المحافظات Governorates'!$E$2:$E$151,MATCH(D255,'المحافظات Governorates'!$A$2:$A$151,0)),"")</f>
        <v>Al-Aflaj</v>
      </c>
      <c r="I255" s="18" t="str">
        <f>IFERROR(INDEX('المناطق Regions'!$C$2:$C$15,MATCH(B255,'المناطق Regions'!$A$2:$A$15,0)),"")</f>
        <v>Riyadh</v>
      </c>
      <c r="J255" s="18" t="str">
        <f>F255&amp;", "&amp;E255&amp;", Saudi Arabia"</f>
        <v>قصر القاسم, الافلاج, Saudi Arabia</v>
      </c>
      <c r="K255" s="18">
        <v>22.085136</v>
      </c>
      <c r="L255" s="18">
        <v>46.851078</v>
      </c>
      <c r="M255" s="18">
        <v>196561</v>
      </c>
      <c r="N255" s="18" t="s">
        <v>1049</v>
      </c>
    </row>
    <row r="256" ht="15" customHeight="1" spans="1:14" x14ac:dyDescent="0.25">
      <c r="A256" s="11" t="s">
        <v>1076</v>
      </c>
      <c r="B256" s="11">
        <v>1</v>
      </c>
      <c r="C256" s="12" t="s">
        <v>44</v>
      </c>
      <c r="D256" s="11" t="s">
        <v>131</v>
      </c>
      <c r="E256" s="12" t="s">
        <v>132</v>
      </c>
      <c r="F256" s="12" t="s">
        <v>1077</v>
      </c>
      <c r="G256" s="11" t="s">
        <v>149</v>
      </c>
      <c r="H256" s="18" t="str">
        <f>IFERROR(INDEX('المحافظات Governorates'!$E$2:$E$151,MATCH(D256,'المحافظات Governorates'!$A$2:$A$151,0)),"")</f>
        <v>Al-Aflaj</v>
      </c>
      <c r="I256" s="18" t="str">
        <f>IFERROR(INDEX('المناطق Regions'!$C$2:$C$15,MATCH(B256,'المناطق Regions'!$A$2:$A$15,0)),"")</f>
        <v>Riyadh</v>
      </c>
      <c r="J256" s="18" t="str">
        <f>F256&amp;", "&amp;E256&amp;", Saudi Arabia"</f>
        <v>الهدار الجنوبي, الافلاج, Saudi Arabia</v>
      </c>
      <c r="K256" s="18">
        <v>22.085136</v>
      </c>
      <c r="L256" s="18">
        <v>46.851078</v>
      </c>
      <c r="M256" s="18">
        <v>196561</v>
      </c>
      <c r="N256" s="18" t="s">
        <v>1049</v>
      </c>
    </row>
    <row r="257" ht="15" customHeight="1" spans="1:14" x14ac:dyDescent="0.25">
      <c r="A257" s="13" t="s">
        <v>1078</v>
      </c>
      <c r="B257" s="13">
        <v>1</v>
      </c>
      <c r="C257" s="14" t="s">
        <v>44</v>
      </c>
      <c r="D257" s="13" t="s">
        <v>131</v>
      </c>
      <c r="E257" s="14" t="s">
        <v>132</v>
      </c>
      <c r="F257" s="14" t="s">
        <v>1079</v>
      </c>
      <c r="G257" s="13" t="s">
        <v>149</v>
      </c>
      <c r="H257" s="18" t="str">
        <f>IFERROR(INDEX('المحافظات Governorates'!$E$2:$E$151,MATCH(D257,'المحافظات Governorates'!$A$2:$A$151,0)),"")</f>
        <v>Al-Aflaj</v>
      </c>
      <c r="I257" s="18" t="str">
        <f>IFERROR(INDEX('المناطق Regions'!$C$2:$C$15,MATCH(B257,'المناطق Regions'!$A$2:$A$15,0)),"")</f>
        <v>Riyadh</v>
      </c>
      <c r="J257" s="18" t="str">
        <f>F257&amp;", "&amp;E257&amp;", Saudi Arabia"</f>
        <v>الوداعين, الافلاج, Saudi Arabia</v>
      </c>
      <c r="K257" s="18">
        <v>22.085136</v>
      </c>
      <c r="L257" s="18">
        <v>46.851078</v>
      </c>
      <c r="M257" s="18">
        <v>196561</v>
      </c>
      <c r="N257" s="18" t="s">
        <v>1049</v>
      </c>
    </row>
    <row r="258" ht="15" customHeight="1" spans="1:14" x14ac:dyDescent="0.25">
      <c r="A258" s="11" t="s">
        <v>1080</v>
      </c>
      <c r="B258" s="11">
        <v>1</v>
      </c>
      <c r="C258" s="12" t="s">
        <v>44</v>
      </c>
      <c r="D258" s="11" t="s">
        <v>131</v>
      </c>
      <c r="E258" s="12" t="s">
        <v>132</v>
      </c>
      <c r="F258" s="12" t="s">
        <v>1081</v>
      </c>
      <c r="G258" s="11" t="s">
        <v>149</v>
      </c>
      <c r="H258" s="18" t="str">
        <f>IFERROR(INDEX('المحافظات Governorates'!$E$2:$E$151,MATCH(D258,'المحافظات Governorates'!$A$2:$A$151,0)),"")</f>
        <v>Al-Aflaj</v>
      </c>
      <c r="I258" s="18" t="str">
        <f>IFERROR(INDEX('المناطق Regions'!$C$2:$C$15,MATCH(B258,'المناطق Regions'!$A$2:$A$15,0)),"")</f>
        <v>Riyadh</v>
      </c>
      <c r="J258" s="18" t="str">
        <f>F258&amp;", "&amp;E258&amp;", Saudi Arabia"</f>
        <v>وسيله, الافلاج, Saudi Arabia</v>
      </c>
      <c r="K258" s="18">
        <v>22.085136</v>
      </c>
      <c r="L258" s="18">
        <v>46.851078</v>
      </c>
      <c r="M258" s="18">
        <v>196561</v>
      </c>
      <c r="N258" s="18" t="s">
        <v>1049</v>
      </c>
    </row>
    <row r="259" ht="15" customHeight="1" spans="1:14" x14ac:dyDescent="0.25">
      <c r="A259" s="13" t="s">
        <v>1082</v>
      </c>
      <c r="B259" s="13">
        <v>1</v>
      </c>
      <c r="C259" s="14" t="s">
        <v>44</v>
      </c>
      <c r="D259" s="13" t="s">
        <v>131</v>
      </c>
      <c r="E259" s="14" t="s">
        <v>132</v>
      </c>
      <c r="F259" s="14" t="s">
        <v>1083</v>
      </c>
      <c r="G259" s="13" t="s">
        <v>149</v>
      </c>
      <c r="H259" s="18" t="str">
        <f>IFERROR(INDEX('المحافظات Governorates'!$E$2:$E$151,MATCH(D259,'المحافظات Governorates'!$A$2:$A$151,0)),"")</f>
        <v>Al-Aflaj</v>
      </c>
      <c r="I259" s="18" t="str">
        <f>IFERROR(INDEX('المناطق Regions'!$C$2:$C$15,MATCH(B259,'المناطق Regions'!$A$2:$A$15,0)),"")</f>
        <v>Riyadh</v>
      </c>
      <c r="J259" s="18" t="str">
        <f>F259&amp;", "&amp;E259&amp;", Saudi Arabia"</f>
        <v>الخرفه, الافلاج, Saudi Arabia</v>
      </c>
      <c r="K259" s="18">
        <v>22.22884</v>
      </c>
      <c r="L259" s="18">
        <v>46.692623</v>
      </c>
      <c r="M259" s="18">
        <v>2000</v>
      </c>
      <c r="N259" s="18" t="s">
        <v>562</v>
      </c>
    </row>
    <row r="260" ht="15" customHeight="1" spans="1:14" x14ac:dyDescent="0.25">
      <c r="A260" s="11" t="s">
        <v>1084</v>
      </c>
      <c r="B260" s="11">
        <v>1</v>
      </c>
      <c r="C260" s="12" t="s">
        <v>44</v>
      </c>
      <c r="D260" s="11" t="s">
        <v>131</v>
      </c>
      <c r="E260" s="12" t="s">
        <v>132</v>
      </c>
      <c r="F260" s="12" t="s">
        <v>1085</v>
      </c>
      <c r="G260" s="11" t="s">
        <v>149</v>
      </c>
      <c r="H260" s="18" t="str">
        <f>IFERROR(INDEX('المحافظات Governorates'!$E$2:$E$151,MATCH(D260,'المحافظات Governorates'!$A$2:$A$151,0)),"")</f>
        <v>Al-Aflaj</v>
      </c>
      <c r="I260" s="18" t="str">
        <f>IFERROR(INDEX('المناطق Regions'!$C$2:$C$15,MATCH(B260,'المناطق Regions'!$A$2:$A$15,0)),"")</f>
        <v>Riyadh</v>
      </c>
      <c r="J260" s="18" t="str">
        <f>F260&amp;", "&amp;E260&amp;", Saudi Arabia"</f>
        <v>العجيلية, الافلاج, Saudi Arabia</v>
      </c>
      <c r="K260" s="18">
        <v>22.085136</v>
      </c>
      <c r="L260" s="18">
        <v>46.851078</v>
      </c>
      <c r="M260" s="18">
        <v>196561</v>
      </c>
      <c r="N260" s="18" t="s">
        <v>1049</v>
      </c>
    </row>
    <row r="261" ht="15" customHeight="1" spans="1:14" x14ac:dyDescent="0.25">
      <c r="A261" s="13" t="s">
        <v>1086</v>
      </c>
      <c r="B261" s="13">
        <v>1</v>
      </c>
      <c r="C261" s="14" t="s">
        <v>44</v>
      </c>
      <c r="D261" s="13" t="s">
        <v>131</v>
      </c>
      <c r="E261" s="14" t="s">
        <v>132</v>
      </c>
      <c r="F261" s="14" t="s">
        <v>1087</v>
      </c>
      <c r="G261" s="13" t="s">
        <v>149</v>
      </c>
      <c r="H261" s="18" t="str">
        <f>IFERROR(INDEX('المحافظات Governorates'!$E$2:$E$151,MATCH(D261,'المحافظات Governorates'!$A$2:$A$151,0)),"")</f>
        <v>Al-Aflaj</v>
      </c>
      <c r="I261" s="18" t="str">
        <f>IFERROR(INDEX('المناطق Regions'!$C$2:$C$15,MATCH(B261,'المناطق Regions'!$A$2:$A$15,0)),"")</f>
        <v>Riyadh</v>
      </c>
      <c r="J261" s="18" t="str">
        <f>F261&amp;", "&amp;E261&amp;", Saudi Arabia"</f>
        <v>الهمجة, الافلاج, Saudi Arabia</v>
      </c>
      <c r="K261" s="18">
        <v>22.085136</v>
      </c>
      <c r="L261" s="18">
        <v>46.851078</v>
      </c>
      <c r="M261" s="18">
        <v>196561</v>
      </c>
      <c r="N261" s="18" t="s">
        <v>1049</v>
      </c>
    </row>
    <row r="262" ht="15" customHeight="1" spans="1:14" x14ac:dyDescent="0.25">
      <c r="A262" s="11" t="s">
        <v>1088</v>
      </c>
      <c r="B262" s="11">
        <v>1</v>
      </c>
      <c r="C262" s="12" t="s">
        <v>44</v>
      </c>
      <c r="D262" s="11" t="s">
        <v>131</v>
      </c>
      <c r="E262" s="12" t="s">
        <v>132</v>
      </c>
      <c r="F262" s="12" t="s">
        <v>1089</v>
      </c>
      <c r="G262" s="11" t="s">
        <v>149</v>
      </c>
      <c r="H262" s="18" t="str">
        <f>IFERROR(INDEX('المحافظات Governorates'!$E$2:$E$151,MATCH(D262,'المحافظات Governorates'!$A$2:$A$151,0)),"")</f>
        <v>Al-Aflaj</v>
      </c>
      <c r="I262" s="18" t="str">
        <f>IFERROR(INDEX('المناطق Regions'!$C$2:$C$15,MATCH(B262,'المناطق Regions'!$A$2:$A$15,0)),"")</f>
        <v>Riyadh</v>
      </c>
      <c r="J262" s="18" t="str">
        <f>F262&amp;", "&amp;E262&amp;", Saudi Arabia"</f>
        <v>النايفية, الافلاج, Saudi Arabia</v>
      </c>
      <c r="K262" s="18">
        <v>22.413548</v>
      </c>
      <c r="L262" s="18">
        <v>46.609621</v>
      </c>
      <c r="M262" s="18">
        <v>2000</v>
      </c>
      <c r="N262" s="18" t="s">
        <v>562</v>
      </c>
    </row>
    <row r="263" ht="15" customHeight="1" spans="1:14" x14ac:dyDescent="0.25">
      <c r="A263" s="13" t="s">
        <v>1090</v>
      </c>
      <c r="B263" s="13">
        <v>1</v>
      </c>
      <c r="C263" s="14" t="s">
        <v>44</v>
      </c>
      <c r="D263" s="13" t="s">
        <v>131</v>
      </c>
      <c r="E263" s="14" t="s">
        <v>132</v>
      </c>
      <c r="F263" s="14" t="s">
        <v>484</v>
      </c>
      <c r="G263" s="13" t="s">
        <v>149</v>
      </c>
      <c r="H263" s="18" t="str">
        <f>IFERROR(INDEX('المحافظات Governorates'!$E$2:$E$151,MATCH(D263,'المحافظات Governorates'!$A$2:$A$151,0)),"")</f>
        <v>Al-Aflaj</v>
      </c>
      <c r="I263" s="18" t="str">
        <f>IFERROR(INDEX('المناطق Regions'!$C$2:$C$15,MATCH(B263,'المناطق Regions'!$A$2:$A$15,0)),"")</f>
        <v>Riyadh</v>
      </c>
      <c r="J263" s="18" t="str">
        <f>F263&amp;", "&amp;E263&amp;", Saudi Arabia"</f>
        <v>الطوال, الافلاج, Saudi Arabia</v>
      </c>
      <c r="K263" s="18">
        <v>22.085136</v>
      </c>
      <c r="L263" s="18">
        <v>46.851078</v>
      </c>
      <c r="M263" s="18">
        <v>196561</v>
      </c>
      <c r="N263" s="18" t="s">
        <v>1049</v>
      </c>
    </row>
    <row r="264" ht="15" customHeight="1" spans="1:14" x14ac:dyDescent="0.25">
      <c r="A264" s="11" t="s">
        <v>1091</v>
      </c>
      <c r="B264" s="11">
        <v>1</v>
      </c>
      <c r="C264" s="12" t="s">
        <v>44</v>
      </c>
      <c r="D264" s="11" t="s">
        <v>131</v>
      </c>
      <c r="E264" s="12" t="s">
        <v>132</v>
      </c>
      <c r="F264" s="12" t="s">
        <v>1092</v>
      </c>
      <c r="G264" s="11" t="s">
        <v>149</v>
      </c>
      <c r="H264" s="18" t="str">
        <f>IFERROR(INDEX('المحافظات Governorates'!$E$2:$E$151,MATCH(D264,'المحافظات Governorates'!$A$2:$A$151,0)),"")</f>
        <v>Al-Aflaj</v>
      </c>
      <c r="I264" s="18" t="str">
        <f>IFERROR(INDEX('المناطق Regions'!$C$2:$C$15,MATCH(B264,'المناطق Regions'!$A$2:$A$15,0)),"")</f>
        <v>Riyadh</v>
      </c>
      <c r="J264" s="18" t="str">
        <f>F264&amp;", "&amp;E264&amp;", Saudi Arabia"</f>
        <v>ريمان, الافلاج, Saudi Arabia</v>
      </c>
      <c r="K264" s="18">
        <v>22.085136</v>
      </c>
      <c r="L264" s="18">
        <v>46.851078</v>
      </c>
      <c r="M264" s="18">
        <v>196561</v>
      </c>
      <c r="N264" s="18" t="s">
        <v>1049</v>
      </c>
    </row>
    <row r="265" ht="15" customHeight="1" spans="1:14" x14ac:dyDescent="0.25">
      <c r="A265" s="13" t="s">
        <v>1093</v>
      </c>
      <c r="B265" s="13">
        <v>1</v>
      </c>
      <c r="C265" s="14" t="s">
        <v>44</v>
      </c>
      <c r="D265" s="13" t="s">
        <v>131</v>
      </c>
      <c r="E265" s="14" t="s">
        <v>132</v>
      </c>
      <c r="F265" s="14" t="s">
        <v>1094</v>
      </c>
      <c r="G265" s="13" t="s">
        <v>149</v>
      </c>
      <c r="H265" s="18" t="str">
        <f>IFERROR(INDEX('المحافظات Governorates'!$E$2:$E$151,MATCH(D265,'المحافظات Governorates'!$A$2:$A$151,0)),"")</f>
        <v>Al-Aflaj</v>
      </c>
      <c r="I265" s="18" t="str">
        <f>IFERROR(INDEX('المناطق Regions'!$C$2:$C$15,MATCH(B265,'المناطق Regions'!$A$2:$A$15,0)),"")</f>
        <v>Riyadh</v>
      </c>
      <c r="J265" s="18" t="str">
        <f>F265&amp;", "&amp;E265&amp;", Saudi Arabia"</f>
        <v>الفرشة, الافلاج, Saudi Arabia</v>
      </c>
      <c r="K265" s="18">
        <v>22.085136</v>
      </c>
      <c r="L265" s="18">
        <v>46.851078</v>
      </c>
      <c r="M265" s="18">
        <v>196561</v>
      </c>
      <c r="N265" s="18" t="s">
        <v>1049</v>
      </c>
    </row>
    <row r="266" ht="15" customHeight="1" spans="1:14" x14ac:dyDescent="0.25">
      <c r="A266" s="11" t="s">
        <v>1095</v>
      </c>
      <c r="B266" s="11">
        <v>1</v>
      </c>
      <c r="C266" s="12" t="s">
        <v>44</v>
      </c>
      <c r="D266" s="11" t="s">
        <v>134</v>
      </c>
      <c r="E266" s="12" t="s">
        <v>135</v>
      </c>
      <c r="F266" s="12" t="s">
        <v>1096</v>
      </c>
      <c r="G266" s="11" t="s">
        <v>113</v>
      </c>
      <c r="H266" s="18" t="str">
        <f>IFERROR(INDEX('المحافظات Governorates'!$E$2:$E$151,MATCH(D266,'المحافظات Governorates'!$A$2:$A$151,0)),"")</f>
        <v>Az-Zulfi</v>
      </c>
      <c r="I266" s="18" t="str">
        <f>IFERROR(INDEX('المناطق Regions'!$C$2:$C$15,MATCH(B266,'المناطق Regions'!$A$2:$A$15,0)),"")</f>
        <v>Riyadh</v>
      </c>
      <c r="J266" s="18" t="str">
        <f>F266&amp;", "&amp;E266&amp;", Saudi Arabia"</f>
        <v>علقة, الزلفى, Saudi Arabia</v>
      </c>
      <c r="K266" s="18">
        <v>26.339807</v>
      </c>
      <c r="L266" s="18">
        <v>44.784887</v>
      </c>
      <c r="M266" s="18">
        <v>2000</v>
      </c>
      <c r="N266" s="18" t="s">
        <v>562</v>
      </c>
    </row>
    <row r="267" ht="15" customHeight="1" spans="1:14" x14ac:dyDescent="0.25">
      <c r="A267" s="13" t="s">
        <v>1097</v>
      </c>
      <c r="B267" s="13">
        <v>1</v>
      </c>
      <c r="C267" s="14" t="s">
        <v>44</v>
      </c>
      <c r="D267" s="13" t="s">
        <v>134</v>
      </c>
      <c r="E267" s="14" t="s">
        <v>135</v>
      </c>
      <c r="F267" s="14" t="s">
        <v>1098</v>
      </c>
      <c r="G267" s="13" t="s">
        <v>149</v>
      </c>
      <c r="H267" s="18" t="str">
        <f>IFERROR(INDEX('المحافظات Governorates'!$E$2:$E$151,MATCH(D267,'المحافظات Governorates'!$A$2:$A$151,0)),"")</f>
        <v>Az-Zulfi</v>
      </c>
      <c r="I267" s="18" t="str">
        <f>IFERROR(INDEX('المناطق Regions'!$C$2:$C$15,MATCH(B267,'المناطق Regions'!$A$2:$A$15,0)),"")</f>
        <v>Riyadh</v>
      </c>
      <c r="J267" s="18" t="str">
        <f>F267&amp;", "&amp;E267&amp;", Saudi Arabia"</f>
        <v>الثويرات, الزلفى, Saudi Arabia</v>
      </c>
      <c r="K267" s="18">
        <v>26.299517</v>
      </c>
      <c r="L267" s="18">
        <v>44.834961</v>
      </c>
      <c r="M267" s="18">
        <v>2000</v>
      </c>
      <c r="N267" s="18" t="s">
        <v>562</v>
      </c>
    </row>
    <row r="268" ht="15" customHeight="1" spans="1:14" x14ac:dyDescent="0.25">
      <c r="A268" s="11" t="s">
        <v>1099</v>
      </c>
      <c r="B268" s="11">
        <v>1</v>
      </c>
      <c r="C268" s="12" t="s">
        <v>44</v>
      </c>
      <c r="D268" s="11" t="s">
        <v>134</v>
      </c>
      <c r="E268" s="12" t="s">
        <v>135</v>
      </c>
      <c r="F268" s="12" t="s">
        <v>1100</v>
      </c>
      <c r="G268" s="11" t="s">
        <v>149</v>
      </c>
      <c r="H268" s="18" t="str">
        <f>IFERROR(INDEX('المحافظات Governorates'!$E$2:$E$151,MATCH(D268,'المحافظات Governorates'!$A$2:$A$151,0)),"")</f>
        <v>Az-Zulfi</v>
      </c>
      <c r="I268" s="18" t="str">
        <f>IFERROR(INDEX('المناطق Regions'!$C$2:$C$15,MATCH(B268,'المناطق Regions'!$A$2:$A$15,0)),"")</f>
        <v>Riyadh</v>
      </c>
      <c r="J268" s="18" t="str">
        <f>F268&amp;", "&amp;E268&amp;", Saudi Arabia"</f>
        <v>الحموديه, الزلفى, Saudi Arabia</v>
      </c>
      <c r="K268" s="18">
        <v>26.944848</v>
      </c>
      <c r="L268" s="18">
        <v>44.56847</v>
      </c>
      <c r="M268" s="18">
        <v>2000</v>
      </c>
      <c r="N268" s="18" t="s">
        <v>562</v>
      </c>
    </row>
    <row r="269" ht="15" customHeight="1" spans="1:14" x14ac:dyDescent="0.25">
      <c r="A269" s="13" t="s">
        <v>1101</v>
      </c>
      <c r="B269" s="13">
        <v>1</v>
      </c>
      <c r="C269" s="14" t="s">
        <v>44</v>
      </c>
      <c r="D269" s="13" t="s">
        <v>134</v>
      </c>
      <c r="E269" s="14" t="s">
        <v>135</v>
      </c>
      <c r="F269" s="14" t="s">
        <v>1102</v>
      </c>
      <c r="G269" s="13" t="s">
        <v>149</v>
      </c>
      <c r="H269" s="18" t="str">
        <f>IFERROR(INDEX('المحافظات Governorates'!$E$2:$E$151,MATCH(D269,'المحافظات Governorates'!$A$2:$A$151,0)),"")</f>
        <v>Az-Zulfi</v>
      </c>
      <c r="I269" s="18" t="str">
        <f>IFERROR(INDEX('المناطق Regions'!$C$2:$C$15,MATCH(B269,'المناطق Regions'!$A$2:$A$15,0)),"")</f>
        <v>Riyadh</v>
      </c>
      <c r="J269" s="18" t="str">
        <f>F269&amp;", "&amp;E269&amp;", Saudi Arabia"</f>
        <v>المستوي, الزلفى, Saudi Arabia</v>
      </c>
      <c r="K269" s="18">
        <v>26.211046</v>
      </c>
      <c r="L269" s="18">
        <v>44.580051</v>
      </c>
      <c r="M269" s="18">
        <v>2000</v>
      </c>
      <c r="N269" s="18" t="s">
        <v>562</v>
      </c>
    </row>
    <row r="270" ht="15" customHeight="1" spans="1:14" x14ac:dyDescent="0.25">
      <c r="A270" s="11" t="s">
        <v>1103</v>
      </c>
      <c r="B270" s="11">
        <v>1</v>
      </c>
      <c r="C270" s="12" t="s">
        <v>44</v>
      </c>
      <c r="D270" s="11" t="s">
        <v>134</v>
      </c>
      <c r="E270" s="12" t="s">
        <v>135</v>
      </c>
      <c r="F270" s="12" t="s">
        <v>1104</v>
      </c>
      <c r="G270" s="11" t="s">
        <v>149</v>
      </c>
      <c r="H270" s="18" t="str">
        <f>IFERROR(INDEX('المحافظات Governorates'!$E$2:$E$151,MATCH(D270,'المحافظات Governorates'!$A$2:$A$151,0)),"")</f>
        <v>Az-Zulfi</v>
      </c>
      <c r="I270" s="18" t="str">
        <f>IFERROR(INDEX('المناطق Regions'!$C$2:$C$15,MATCH(B270,'المناطق Regions'!$A$2:$A$15,0)),"")</f>
        <v>Riyadh</v>
      </c>
      <c r="J270" s="18" t="str">
        <f>F270&amp;", "&amp;E270&amp;", Saudi Arabia"</f>
        <v>البعيثه, الزلفى, Saudi Arabia</v>
      </c>
      <c r="K270" s="18">
        <v>26.846439</v>
      </c>
      <c r="L270" s="18">
        <v>44.64235</v>
      </c>
      <c r="M270" s="18">
        <v>2000</v>
      </c>
      <c r="N270" s="18" t="s">
        <v>562</v>
      </c>
    </row>
    <row r="271" ht="15" customHeight="1" spans="1:14" x14ac:dyDescent="0.25">
      <c r="A271" s="13" t="s">
        <v>1105</v>
      </c>
      <c r="B271" s="13">
        <v>1</v>
      </c>
      <c r="C271" s="14" t="s">
        <v>44</v>
      </c>
      <c r="D271" s="13" t="s">
        <v>137</v>
      </c>
      <c r="E271" s="14" t="s">
        <v>138</v>
      </c>
      <c r="F271" s="14" t="s">
        <v>1106</v>
      </c>
      <c r="G271" s="13" t="s">
        <v>113</v>
      </c>
      <c r="H271" s="18" t="str">
        <f>IFERROR(INDEX('المحافظات Governorates'!$E$2:$E$151,MATCH(D271,'المحافظات Governorates'!$A$2:$A$151,0)),"")</f>
        <v>Shaqra</v>
      </c>
      <c r="I271" s="18" t="str">
        <f>IFERROR(INDEX('المناطق Regions'!$C$2:$C$15,MATCH(B271,'المناطق Regions'!$A$2:$A$15,0)),"")</f>
        <v>Riyadh</v>
      </c>
      <c r="J271" s="18" t="str">
        <f>F271&amp;", "&amp;E271&amp;", Saudi Arabia"</f>
        <v>القصب, شقراء, Saudi Arabia</v>
      </c>
      <c r="K271" s="18">
        <v>25.295689</v>
      </c>
      <c r="L271" s="18">
        <v>45.523388</v>
      </c>
      <c r="M271" s="18">
        <v>2000</v>
      </c>
      <c r="N271" s="18" t="s">
        <v>562</v>
      </c>
    </row>
    <row r="272" ht="15" customHeight="1" spans="1:14" x14ac:dyDescent="0.25">
      <c r="A272" s="11" t="s">
        <v>1107</v>
      </c>
      <c r="B272" s="11">
        <v>1</v>
      </c>
      <c r="C272" s="12" t="s">
        <v>44</v>
      </c>
      <c r="D272" s="11" t="s">
        <v>137</v>
      </c>
      <c r="E272" s="12" t="s">
        <v>138</v>
      </c>
      <c r="F272" s="12" t="s">
        <v>1108</v>
      </c>
      <c r="G272" s="11" t="s">
        <v>149</v>
      </c>
      <c r="H272" s="18" t="str">
        <f>IFERROR(INDEX('المحافظات Governorates'!$E$2:$E$151,MATCH(D272,'المحافظات Governorates'!$A$2:$A$151,0)),"")</f>
        <v>Shaqra</v>
      </c>
      <c r="I272" s="18" t="str">
        <f>IFERROR(INDEX('المناطق Regions'!$C$2:$C$15,MATCH(B272,'المناطق Regions'!$A$2:$A$15,0)),"")</f>
        <v>Riyadh</v>
      </c>
      <c r="J272" s="18" t="str">
        <f>F272&amp;", "&amp;E272&amp;", Saudi Arabia"</f>
        <v>الوقف, شقراء, Saudi Arabia</v>
      </c>
      <c r="K272" s="18">
        <v>25.220535</v>
      </c>
      <c r="L272" s="18">
        <v>45.276373</v>
      </c>
      <c r="M272" s="18">
        <v>2000</v>
      </c>
      <c r="N272" s="18" t="s">
        <v>562</v>
      </c>
    </row>
    <row r="273" ht="15" customHeight="1" spans="1:14" x14ac:dyDescent="0.25">
      <c r="A273" s="13" t="s">
        <v>1109</v>
      </c>
      <c r="B273" s="13">
        <v>1</v>
      </c>
      <c r="C273" s="14" t="s">
        <v>44</v>
      </c>
      <c r="D273" s="13" t="s">
        <v>137</v>
      </c>
      <c r="E273" s="14" t="s">
        <v>138</v>
      </c>
      <c r="F273" s="14" t="s">
        <v>1110</v>
      </c>
      <c r="G273" s="13" t="s">
        <v>149</v>
      </c>
      <c r="H273" s="18" t="str">
        <f>IFERROR(INDEX('المحافظات Governorates'!$E$2:$E$151,MATCH(D273,'المحافظات Governorates'!$A$2:$A$151,0)),"")</f>
        <v>Shaqra</v>
      </c>
      <c r="I273" s="18" t="str">
        <f>IFERROR(INDEX('المناطق Regions'!$C$2:$C$15,MATCH(B273,'المناطق Regions'!$A$2:$A$15,0)),"")</f>
        <v>Riyadh</v>
      </c>
      <c r="J273" s="18" t="str">
        <f>F273&amp;", "&amp;E273&amp;", Saudi Arabia"</f>
        <v>الصوح, شقراء, Saudi Arabia</v>
      </c>
      <c r="K273" s="18">
        <v>25.499553</v>
      </c>
      <c r="L273" s="18">
        <v>45.338831</v>
      </c>
      <c r="M273" s="18">
        <v>2000</v>
      </c>
      <c r="N273" s="18" t="s">
        <v>562</v>
      </c>
    </row>
    <row r="274" ht="15" customHeight="1" spans="1:14" x14ac:dyDescent="0.25">
      <c r="A274" s="11" t="s">
        <v>1111</v>
      </c>
      <c r="B274" s="11">
        <v>1</v>
      </c>
      <c r="C274" s="12" t="s">
        <v>44</v>
      </c>
      <c r="D274" s="11" t="s">
        <v>137</v>
      </c>
      <c r="E274" s="12" t="s">
        <v>138</v>
      </c>
      <c r="F274" s="12" t="s">
        <v>1112</v>
      </c>
      <c r="G274" s="11" t="s">
        <v>149</v>
      </c>
      <c r="H274" s="18" t="str">
        <f>IFERROR(INDEX('المحافظات Governorates'!$E$2:$E$151,MATCH(D274,'المحافظات Governorates'!$A$2:$A$151,0)),"")</f>
        <v>Shaqra</v>
      </c>
      <c r="I274" s="18" t="str">
        <f>IFERROR(INDEX('المناطق Regions'!$C$2:$C$15,MATCH(B274,'المناطق Regions'!$A$2:$A$15,0)),"")</f>
        <v>Riyadh</v>
      </c>
      <c r="J274" s="18" t="str">
        <f>F274&amp;", "&amp;E274&amp;", Saudi Arabia"</f>
        <v>الحريق بالوشم, شقراء, Saudi Arabia</v>
      </c>
      <c r="K274" s="18">
        <v>25.375318</v>
      </c>
      <c r="L274" s="18">
        <v>45.136996</v>
      </c>
      <c r="M274" s="18">
        <v>75427</v>
      </c>
      <c r="N274" s="18" t="s">
        <v>1113</v>
      </c>
    </row>
    <row r="275" ht="15" customHeight="1" spans="1:14" x14ac:dyDescent="0.25">
      <c r="A275" s="13" t="s">
        <v>1114</v>
      </c>
      <c r="B275" s="13">
        <v>1</v>
      </c>
      <c r="C275" s="14" t="s">
        <v>44</v>
      </c>
      <c r="D275" s="13" t="s">
        <v>137</v>
      </c>
      <c r="E275" s="14" t="s">
        <v>138</v>
      </c>
      <c r="F275" s="14" t="s">
        <v>1115</v>
      </c>
      <c r="G275" s="13" t="s">
        <v>149</v>
      </c>
      <c r="H275" s="18" t="str">
        <f>IFERROR(INDEX('المحافظات Governorates'!$E$2:$E$151,MATCH(D275,'المحافظات Governorates'!$A$2:$A$151,0)),"")</f>
        <v>Shaqra</v>
      </c>
      <c r="I275" s="18" t="str">
        <f>IFERROR(INDEX('المناطق Regions'!$C$2:$C$15,MATCH(B275,'المناطق Regions'!$A$2:$A$15,0)),"")</f>
        <v>Riyadh</v>
      </c>
      <c r="J275" s="18" t="str">
        <f>F275&amp;", "&amp;E275&amp;", Saudi Arabia"</f>
        <v>باديه الداهنه, شقراء, Saudi Arabia</v>
      </c>
      <c r="K275" s="18">
        <v>25.375318</v>
      </c>
      <c r="L275" s="18">
        <v>45.136996</v>
      </c>
      <c r="M275" s="18">
        <v>75427</v>
      </c>
      <c r="N275" s="18" t="s">
        <v>1113</v>
      </c>
    </row>
    <row r="276" ht="15" customHeight="1" spans="1:14" x14ac:dyDescent="0.25">
      <c r="A276" s="11" t="s">
        <v>1116</v>
      </c>
      <c r="B276" s="11">
        <v>1</v>
      </c>
      <c r="C276" s="12" t="s">
        <v>44</v>
      </c>
      <c r="D276" s="11" t="s">
        <v>137</v>
      </c>
      <c r="E276" s="12" t="s">
        <v>138</v>
      </c>
      <c r="F276" s="12" t="s">
        <v>1117</v>
      </c>
      <c r="G276" s="11" t="s">
        <v>149</v>
      </c>
      <c r="H276" s="18" t="str">
        <f>IFERROR(INDEX('المحافظات Governorates'!$E$2:$E$151,MATCH(D276,'المحافظات Governorates'!$A$2:$A$151,0)),"")</f>
        <v>Shaqra</v>
      </c>
      <c r="I276" s="18" t="str">
        <f>IFERROR(INDEX('المناطق Regions'!$C$2:$C$15,MATCH(B276,'المناطق Regions'!$A$2:$A$15,0)),"")</f>
        <v>Riyadh</v>
      </c>
      <c r="J276" s="18" t="str">
        <f>F276&amp;", "&amp;E276&amp;", Saudi Arabia"</f>
        <v>حاضره الداهنه, شقراء, Saudi Arabia</v>
      </c>
      <c r="K276" s="18">
        <v>25.375318</v>
      </c>
      <c r="L276" s="18">
        <v>45.136996</v>
      </c>
      <c r="M276" s="18">
        <v>75427</v>
      </c>
      <c r="N276" s="18" t="s">
        <v>1113</v>
      </c>
    </row>
    <row r="277" ht="15" customHeight="1" spans="1:14" x14ac:dyDescent="0.25">
      <c r="A277" s="13" t="s">
        <v>1118</v>
      </c>
      <c r="B277" s="13">
        <v>1</v>
      </c>
      <c r="C277" s="14" t="s">
        <v>44</v>
      </c>
      <c r="D277" s="13" t="s">
        <v>137</v>
      </c>
      <c r="E277" s="14" t="s">
        <v>138</v>
      </c>
      <c r="F277" s="14" t="s">
        <v>1119</v>
      </c>
      <c r="G277" s="13" t="s">
        <v>149</v>
      </c>
      <c r="H277" s="18" t="str">
        <f>IFERROR(INDEX('المحافظات Governorates'!$E$2:$E$151,MATCH(D277,'المحافظات Governorates'!$A$2:$A$151,0)),"")</f>
        <v>Shaqra</v>
      </c>
      <c r="I277" s="18" t="str">
        <f>IFERROR(INDEX('المناطق Regions'!$C$2:$C$15,MATCH(B277,'المناطق Regions'!$A$2:$A$15,0)),"")</f>
        <v>Riyadh</v>
      </c>
      <c r="J277" s="18" t="str">
        <f>F277&amp;", "&amp;E277&amp;", Saudi Arabia"</f>
        <v>غسلة بالقرائن, شقراء, Saudi Arabia</v>
      </c>
      <c r="K277" s="18">
        <v>25.375318</v>
      </c>
      <c r="L277" s="18">
        <v>45.136996</v>
      </c>
      <c r="M277" s="18">
        <v>75427</v>
      </c>
      <c r="N277" s="18" t="s">
        <v>1113</v>
      </c>
    </row>
    <row r="278" ht="15" customHeight="1" spans="1:14" x14ac:dyDescent="0.25">
      <c r="A278" s="11" t="s">
        <v>1120</v>
      </c>
      <c r="B278" s="11">
        <v>1</v>
      </c>
      <c r="C278" s="12" t="s">
        <v>44</v>
      </c>
      <c r="D278" s="11" t="s">
        <v>137</v>
      </c>
      <c r="E278" s="12" t="s">
        <v>138</v>
      </c>
      <c r="F278" s="12" t="s">
        <v>1121</v>
      </c>
      <c r="G278" s="11" t="s">
        <v>149</v>
      </c>
      <c r="H278" s="18" t="str">
        <f>IFERROR(INDEX('المحافظات Governorates'!$E$2:$E$151,MATCH(D278,'المحافظات Governorates'!$A$2:$A$151,0)),"")</f>
        <v>Shaqra</v>
      </c>
      <c r="I278" s="18" t="str">
        <f>IFERROR(INDEX('المناطق Regions'!$C$2:$C$15,MATCH(B278,'المناطق Regions'!$A$2:$A$15,0)),"")</f>
        <v>Riyadh</v>
      </c>
      <c r="J278" s="18" t="str">
        <f>F278&amp;", "&amp;E278&amp;", Saudi Arabia"</f>
        <v>المشاش, شقراء, Saudi Arabia</v>
      </c>
      <c r="K278" s="18">
        <v>25.271845</v>
      </c>
      <c r="L278" s="18">
        <v>45.440871</v>
      </c>
      <c r="M278" s="18">
        <v>2000</v>
      </c>
      <c r="N278" s="18" t="s">
        <v>562</v>
      </c>
    </row>
    <row r="279" ht="15" customHeight="1" spans="1:14" x14ac:dyDescent="0.25">
      <c r="A279" s="13" t="s">
        <v>1122</v>
      </c>
      <c r="B279" s="13">
        <v>1</v>
      </c>
      <c r="C279" s="14" t="s">
        <v>44</v>
      </c>
      <c r="D279" s="13" t="s">
        <v>137</v>
      </c>
      <c r="E279" s="14" t="s">
        <v>138</v>
      </c>
      <c r="F279" s="14" t="s">
        <v>1123</v>
      </c>
      <c r="G279" s="13" t="s">
        <v>149</v>
      </c>
      <c r="H279" s="18" t="str">
        <f>IFERROR(INDEX('المحافظات Governorates'!$E$2:$E$151,MATCH(D279,'المحافظات Governorates'!$A$2:$A$151,0)),"")</f>
        <v>Shaqra</v>
      </c>
      <c r="I279" s="18" t="str">
        <f>IFERROR(INDEX('المناطق Regions'!$C$2:$C$15,MATCH(B279,'المناطق Regions'!$A$2:$A$15,0)),"")</f>
        <v>Riyadh</v>
      </c>
      <c r="J279" s="18" t="str">
        <f>F279&amp;", "&amp;E279&amp;", Saudi Arabia"</f>
        <v>الفرعه, شقراء, Saudi Arabia</v>
      </c>
      <c r="K279" s="18">
        <v>25.331161</v>
      </c>
      <c r="L279" s="18">
        <v>45.196584</v>
      </c>
      <c r="M279" s="18">
        <v>2000</v>
      </c>
      <c r="N279" s="18" t="s">
        <v>562</v>
      </c>
    </row>
    <row r="280" ht="15" customHeight="1" spans="1:14" x14ac:dyDescent="0.25">
      <c r="A280" s="11" t="s">
        <v>1124</v>
      </c>
      <c r="B280" s="11">
        <v>1</v>
      </c>
      <c r="C280" s="12" t="s">
        <v>44</v>
      </c>
      <c r="D280" s="11" t="s">
        <v>137</v>
      </c>
      <c r="E280" s="12" t="s">
        <v>138</v>
      </c>
      <c r="F280" s="12" t="s">
        <v>1125</v>
      </c>
      <c r="G280" s="11" t="s">
        <v>149</v>
      </c>
      <c r="H280" s="18" t="str">
        <f>IFERROR(INDEX('المحافظات Governorates'!$E$2:$E$151,MATCH(D280,'المحافظات Governorates'!$A$2:$A$151,0)),"")</f>
        <v>Shaqra</v>
      </c>
      <c r="I280" s="18" t="str">
        <f>IFERROR(INDEX('المناطق Regions'!$C$2:$C$15,MATCH(B280,'المناطق Regions'!$A$2:$A$15,0)),"")</f>
        <v>Riyadh</v>
      </c>
      <c r="J280" s="18" t="str">
        <f>F280&amp;", "&amp;E280&amp;", Saudi Arabia"</f>
        <v>الجريفه, شقراء, Saudi Arabia</v>
      </c>
      <c r="K280" s="18">
        <v>25.529318</v>
      </c>
      <c r="L280" s="18">
        <v>45.256441</v>
      </c>
      <c r="M280" s="18">
        <v>2000</v>
      </c>
      <c r="N280" s="18" t="s">
        <v>562</v>
      </c>
    </row>
    <row r="281" ht="15" customHeight="1" spans="1:14" x14ac:dyDescent="0.25">
      <c r="A281" s="13" t="s">
        <v>1126</v>
      </c>
      <c r="B281" s="13">
        <v>1</v>
      </c>
      <c r="C281" s="14" t="s">
        <v>44</v>
      </c>
      <c r="D281" s="13" t="s">
        <v>137</v>
      </c>
      <c r="E281" s="14" t="s">
        <v>138</v>
      </c>
      <c r="F281" s="14" t="s">
        <v>1127</v>
      </c>
      <c r="G281" s="13" t="s">
        <v>113</v>
      </c>
      <c r="H281" s="18" t="str">
        <f>IFERROR(INDEX('المحافظات Governorates'!$E$2:$E$151,MATCH(D281,'المحافظات Governorates'!$A$2:$A$151,0)),"")</f>
        <v>Shaqra</v>
      </c>
      <c r="I281" s="18" t="str">
        <f>IFERROR(INDEX('المناطق Regions'!$C$2:$C$15,MATCH(B281,'المناطق Regions'!$A$2:$A$15,0)),"")</f>
        <v>Riyadh</v>
      </c>
      <c r="J281" s="18" t="str">
        <f>F281&amp;", "&amp;E281&amp;", Saudi Arabia"</f>
        <v>اشيقر, شقراء, Saudi Arabia</v>
      </c>
      <c r="K281" s="18">
        <v>25.339137</v>
      </c>
      <c r="L281" s="18">
        <v>45.178553</v>
      </c>
      <c r="M281" s="18">
        <v>2000</v>
      </c>
      <c r="N281" s="18" t="s">
        <v>562</v>
      </c>
    </row>
    <row r="282" ht="15" customHeight="1" spans="1:14" x14ac:dyDescent="0.25">
      <c r="A282" s="11" t="s">
        <v>1128</v>
      </c>
      <c r="B282" s="11">
        <v>1</v>
      </c>
      <c r="C282" s="12" t="s">
        <v>44</v>
      </c>
      <c r="D282" s="11" t="s">
        <v>140</v>
      </c>
      <c r="E282" s="12" t="s">
        <v>141</v>
      </c>
      <c r="F282" s="12" t="s">
        <v>1129</v>
      </c>
      <c r="G282" s="11" t="s">
        <v>113</v>
      </c>
      <c r="H282" s="18" t="str">
        <f>IFERROR(INDEX('المحافظات Governorates'!$E$2:$E$151,MATCH(D282,'المحافظات Governorates'!$A$2:$A$151,0)),"")</f>
        <v>Hotat Bani Tamim</v>
      </c>
      <c r="I282" s="18" t="str">
        <f>IFERROR(INDEX('المناطق Regions'!$C$2:$C$15,MATCH(B282,'المناطق Regions'!$A$2:$A$15,0)),"")</f>
        <v>Riyadh</v>
      </c>
      <c r="J282" s="18" t="str">
        <f>F282&amp;", "&amp;E282&amp;", Saudi Arabia"</f>
        <v>الحلوه, حوطه بنى تميم, Saudi Arabia</v>
      </c>
      <c r="K282" s="18">
        <v>23.22384</v>
      </c>
      <c r="L282" s="18">
        <v>46.694779</v>
      </c>
      <c r="M282" s="18">
        <v>40000</v>
      </c>
      <c r="N282" s="18" t="s">
        <v>1130</v>
      </c>
    </row>
    <row r="283" ht="15" customHeight="1" spans="1:14" x14ac:dyDescent="0.25">
      <c r="A283" s="13" t="s">
        <v>1131</v>
      </c>
      <c r="B283" s="13">
        <v>1</v>
      </c>
      <c r="C283" s="14" t="s">
        <v>44</v>
      </c>
      <c r="D283" s="13" t="s">
        <v>140</v>
      </c>
      <c r="E283" s="14" t="s">
        <v>141</v>
      </c>
      <c r="F283" s="14" t="s">
        <v>1132</v>
      </c>
      <c r="G283" s="13" t="s">
        <v>113</v>
      </c>
      <c r="H283" s="18" t="str">
        <f>IFERROR(INDEX('المحافظات Governorates'!$E$2:$E$151,MATCH(D283,'المحافظات Governorates'!$A$2:$A$151,0)),"")</f>
        <v>Hotat Bani Tamim</v>
      </c>
      <c r="I283" s="18" t="str">
        <f>IFERROR(INDEX('المناطق Regions'!$C$2:$C$15,MATCH(B283,'المناطق Regions'!$A$2:$A$15,0)),"")</f>
        <v>Riyadh</v>
      </c>
      <c r="J283" s="18" t="str">
        <f>F283&amp;", "&amp;E283&amp;", Saudi Arabia"</f>
        <v>العطيان, حوطه بنى تميم, Saudi Arabia</v>
      </c>
      <c r="K283" s="18">
        <v>23.470552</v>
      </c>
      <c r="L283" s="18">
        <v>46.830747</v>
      </c>
      <c r="M283" s="18">
        <v>2000</v>
      </c>
      <c r="N283" s="18" t="s">
        <v>642</v>
      </c>
    </row>
    <row r="284" ht="15" customHeight="1" spans="1:14" x14ac:dyDescent="0.25">
      <c r="A284" s="11" t="s">
        <v>1133</v>
      </c>
      <c r="B284" s="11">
        <v>1</v>
      </c>
      <c r="C284" s="12" t="s">
        <v>44</v>
      </c>
      <c r="D284" s="11" t="s">
        <v>140</v>
      </c>
      <c r="E284" s="12" t="s">
        <v>141</v>
      </c>
      <c r="F284" s="12" t="s">
        <v>1134</v>
      </c>
      <c r="G284" s="11" t="s">
        <v>149</v>
      </c>
      <c r="H284" s="18" t="str">
        <f>IFERROR(INDEX('المحافظات Governorates'!$E$2:$E$151,MATCH(D284,'المحافظات Governorates'!$A$2:$A$151,0)),"")</f>
        <v>Hotat Bani Tamim</v>
      </c>
      <c r="I284" s="18" t="str">
        <f>IFERROR(INDEX('المناطق Regions'!$C$2:$C$15,MATCH(B284,'المناطق Regions'!$A$2:$A$15,0)),"")</f>
        <v>Riyadh</v>
      </c>
      <c r="J284" s="18" t="str">
        <f>F284&amp;", "&amp;E284&amp;", Saudi Arabia"</f>
        <v>القبابنه, حوطه بنى تميم, Saudi Arabia</v>
      </c>
      <c r="K284" s="18">
        <v>23.22384</v>
      </c>
      <c r="L284" s="18">
        <v>46.694779</v>
      </c>
      <c r="M284" s="18">
        <v>40000</v>
      </c>
      <c r="N284" s="18" t="s">
        <v>1130</v>
      </c>
    </row>
    <row r="285" ht="15" customHeight="1" spans="1:14" x14ac:dyDescent="0.25">
      <c r="A285" s="13" t="s">
        <v>1135</v>
      </c>
      <c r="B285" s="13">
        <v>1</v>
      </c>
      <c r="C285" s="14" t="s">
        <v>44</v>
      </c>
      <c r="D285" s="13" t="s">
        <v>140</v>
      </c>
      <c r="E285" s="14" t="s">
        <v>141</v>
      </c>
      <c r="F285" s="14" t="s">
        <v>1136</v>
      </c>
      <c r="G285" s="13" t="s">
        <v>113</v>
      </c>
      <c r="H285" s="18" t="str">
        <f>IFERROR(INDEX('المحافظات Governorates'!$E$2:$E$151,MATCH(D285,'المحافظات Governorates'!$A$2:$A$151,0)),"")</f>
        <v>Hotat Bani Tamim</v>
      </c>
      <c r="I285" s="18" t="str">
        <f>IFERROR(INDEX('المناطق Regions'!$C$2:$C$15,MATCH(B285,'المناطق Regions'!$A$2:$A$15,0)),"")</f>
        <v>Riyadh</v>
      </c>
      <c r="J285" s="18" t="str">
        <f>F285&amp;", "&amp;E285&amp;", Saudi Arabia"</f>
        <v>الحيانيه, حوطه بنى تميم, Saudi Arabia</v>
      </c>
      <c r="K285" s="18">
        <v>22.986099</v>
      </c>
      <c r="L285" s="18">
        <v>46.095198</v>
      </c>
      <c r="M285" s="18">
        <v>2000</v>
      </c>
      <c r="N285" s="18" t="s">
        <v>642</v>
      </c>
    </row>
    <row r="286" ht="15" customHeight="1" spans="1:14" x14ac:dyDescent="0.25">
      <c r="A286" s="11" t="s">
        <v>1137</v>
      </c>
      <c r="B286" s="11">
        <v>1</v>
      </c>
      <c r="C286" s="12" t="s">
        <v>44</v>
      </c>
      <c r="D286" s="11" t="s">
        <v>140</v>
      </c>
      <c r="E286" s="12" t="s">
        <v>141</v>
      </c>
      <c r="F286" s="12" t="s">
        <v>1138</v>
      </c>
      <c r="G286" s="11" t="s">
        <v>113</v>
      </c>
      <c r="H286" s="18" t="str">
        <f>IFERROR(INDEX('المحافظات Governorates'!$E$2:$E$151,MATCH(D286,'المحافظات Governorates'!$A$2:$A$151,0)),"")</f>
        <v>Hotat Bani Tamim</v>
      </c>
      <c r="I286" s="18" t="str">
        <f>IFERROR(INDEX('المناطق Regions'!$C$2:$C$15,MATCH(B286,'المناطق Regions'!$A$2:$A$15,0)),"")</f>
        <v>Riyadh</v>
      </c>
      <c r="J286" s="18" t="str">
        <f>F286&amp;", "&amp;E286&amp;", Saudi Arabia"</f>
        <v>القويع, حوطه بنى تميم, Saudi Arabia</v>
      </c>
      <c r="K286" s="18">
        <v>23.461229</v>
      </c>
      <c r="L286" s="18">
        <v>46.816552</v>
      </c>
      <c r="M286" s="18">
        <v>2000</v>
      </c>
      <c r="N286" s="18" t="s">
        <v>642</v>
      </c>
    </row>
    <row r="287" ht="15" customHeight="1" spans="1:14" x14ac:dyDescent="0.25">
      <c r="A287" s="13" t="s">
        <v>1139</v>
      </c>
      <c r="B287" s="13">
        <v>1</v>
      </c>
      <c r="C287" s="14" t="s">
        <v>44</v>
      </c>
      <c r="D287" s="13" t="s">
        <v>140</v>
      </c>
      <c r="E287" s="14" t="s">
        <v>141</v>
      </c>
      <c r="F287" s="14" t="s">
        <v>1140</v>
      </c>
      <c r="G287" s="13" t="s">
        <v>149</v>
      </c>
      <c r="H287" s="18" t="str">
        <f>IFERROR(INDEX('المحافظات Governorates'!$E$2:$E$151,MATCH(D287,'المحافظات Governorates'!$A$2:$A$151,0)),"")</f>
        <v>Hotat Bani Tamim</v>
      </c>
      <c r="I287" s="18" t="str">
        <f>IFERROR(INDEX('المناطق Regions'!$C$2:$C$15,MATCH(B287,'المناطق Regions'!$A$2:$A$15,0)),"")</f>
        <v>Riyadh</v>
      </c>
      <c r="J287" s="18" t="str">
        <f>F287&amp;", "&amp;E287&amp;", Saudi Arabia"</f>
        <v>آل بريك, حوطه بنى تميم, Saudi Arabia</v>
      </c>
      <c r="K287" s="18">
        <v>23.227366</v>
      </c>
      <c r="L287" s="18">
        <v>46.389624</v>
      </c>
      <c r="M287" s="18">
        <v>2000</v>
      </c>
      <c r="N287" s="18" t="s">
        <v>642</v>
      </c>
    </row>
    <row r="288" ht="15" customHeight="1" spans="1:14" x14ac:dyDescent="0.25">
      <c r="A288" s="11" t="s">
        <v>1141</v>
      </c>
      <c r="B288" s="11">
        <v>1</v>
      </c>
      <c r="C288" s="12" t="s">
        <v>44</v>
      </c>
      <c r="D288" s="11" t="s">
        <v>140</v>
      </c>
      <c r="E288" s="12" t="s">
        <v>141</v>
      </c>
      <c r="F288" s="12" t="s">
        <v>1142</v>
      </c>
      <c r="G288" s="11" t="s">
        <v>149</v>
      </c>
      <c r="H288" s="18" t="str">
        <f>IFERROR(INDEX('المحافظات Governorates'!$E$2:$E$151,MATCH(D288,'المحافظات Governorates'!$A$2:$A$151,0)),"")</f>
        <v>Hotat Bani Tamim</v>
      </c>
      <c r="I288" s="18" t="str">
        <f>IFERROR(INDEX('المناطق Regions'!$C$2:$C$15,MATCH(B288,'المناطق Regions'!$A$2:$A$15,0)),"")</f>
        <v>Riyadh</v>
      </c>
      <c r="J288" s="18" t="str">
        <f>F288&amp;", "&amp;E288&amp;", Saudi Arabia"</f>
        <v>الفرشه, حوطه بنى تميم, Saudi Arabia</v>
      </c>
      <c r="K288" s="18">
        <v>23.22384</v>
      </c>
      <c r="L288" s="18">
        <v>46.694779</v>
      </c>
      <c r="M288" s="18">
        <v>40000</v>
      </c>
      <c r="N288" s="18" t="s">
        <v>1130</v>
      </c>
    </row>
    <row r="289" ht="15" customHeight="1" spans="1:14" x14ac:dyDescent="0.25">
      <c r="A289" s="13" t="s">
        <v>1143</v>
      </c>
      <c r="B289" s="13">
        <v>1</v>
      </c>
      <c r="C289" s="14" t="s">
        <v>44</v>
      </c>
      <c r="D289" s="13" t="s">
        <v>140</v>
      </c>
      <c r="E289" s="14" t="s">
        <v>141</v>
      </c>
      <c r="F289" s="14" t="s">
        <v>1144</v>
      </c>
      <c r="G289" s="13" t="s">
        <v>149</v>
      </c>
      <c r="H289" s="18" t="str">
        <f>IFERROR(INDEX('المحافظات Governorates'!$E$2:$E$151,MATCH(D289,'المحافظات Governorates'!$A$2:$A$151,0)),"")</f>
        <v>Hotat Bani Tamim</v>
      </c>
      <c r="I289" s="18" t="str">
        <f>IFERROR(INDEX('المناطق Regions'!$C$2:$C$15,MATCH(B289,'المناطق Regions'!$A$2:$A$15,0)),"")</f>
        <v>Riyadh</v>
      </c>
      <c r="J289" s="18" t="str">
        <f>F289&amp;", "&amp;E289&amp;", Saudi Arabia"</f>
        <v>وادي برك, حوطه بنى تميم, Saudi Arabia</v>
      </c>
      <c r="K289" s="18">
        <v>23.265694</v>
      </c>
      <c r="L289" s="18">
        <v>46.662354</v>
      </c>
      <c r="M289" s="18">
        <v>2000</v>
      </c>
      <c r="N289" s="18" t="s">
        <v>642</v>
      </c>
    </row>
    <row r="290" ht="15" customHeight="1" spans="1:14" x14ac:dyDescent="0.25">
      <c r="A290" s="11" t="s">
        <v>1145</v>
      </c>
      <c r="B290" s="11">
        <v>1</v>
      </c>
      <c r="C290" s="12" t="s">
        <v>44</v>
      </c>
      <c r="D290" s="11" t="s">
        <v>143</v>
      </c>
      <c r="E290" s="12" t="s">
        <v>144</v>
      </c>
      <c r="F290" s="12" t="s">
        <v>1146</v>
      </c>
      <c r="G290" s="11" t="s">
        <v>113</v>
      </c>
      <c r="H290" s="18" t="str">
        <f>IFERROR(INDEX('المحافظات Governorates'!$E$2:$E$151,MATCH(D290,'المحافظات Governorates'!$A$2:$A$151,0)),"")</f>
        <v>Afif</v>
      </c>
      <c r="I290" s="18" t="str">
        <f>IFERROR(INDEX('المناطق Regions'!$C$2:$C$15,MATCH(B290,'المناطق Regions'!$A$2:$A$15,0)),"")</f>
        <v>Riyadh</v>
      </c>
      <c r="J290" s="18" t="str">
        <f>F290&amp;", "&amp;E290&amp;", Saudi Arabia"</f>
        <v>الحوميات, عفيف, Saudi Arabia</v>
      </c>
      <c r="K290" s="18">
        <v>23.067148</v>
      </c>
      <c r="L290" s="18">
        <v>42.872966</v>
      </c>
      <c r="M290" s="18">
        <v>2000</v>
      </c>
      <c r="N290" s="18" t="s">
        <v>562</v>
      </c>
    </row>
    <row r="291" ht="15" customHeight="1" spans="1:14" x14ac:dyDescent="0.25">
      <c r="A291" s="13" t="s">
        <v>1147</v>
      </c>
      <c r="B291" s="13">
        <v>1</v>
      </c>
      <c r="C291" s="14" t="s">
        <v>44</v>
      </c>
      <c r="D291" s="13" t="s">
        <v>143</v>
      </c>
      <c r="E291" s="14" t="s">
        <v>144</v>
      </c>
      <c r="F291" s="14" t="s">
        <v>1148</v>
      </c>
      <c r="G291" s="13" t="s">
        <v>113</v>
      </c>
      <c r="H291" s="18" t="str">
        <f>IFERROR(INDEX('المحافظات Governorates'!$E$2:$E$151,MATCH(D291,'المحافظات Governorates'!$A$2:$A$151,0)),"")</f>
        <v>Afif</v>
      </c>
      <c r="I291" s="18" t="str">
        <f>IFERROR(INDEX('المناطق Regions'!$C$2:$C$15,MATCH(B291,'المناطق Regions'!$A$2:$A$15,0)),"")</f>
        <v>Riyadh</v>
      </c>
      <c r="J291" s="18" t="str">
        <f>F291&amp;", "&amp;E291&amp;", Saudi Arabia"</f>
        <v>الجمانيه, عفيف, Saudi Arabia</v>
      </c>
      <c r="K291" s="18">
        <v>24.118252</v>
      </c>
      <c r="L291" s="18">
        <v>43.260662</v>
      </c>
      <c r="M291" s="18">
        <v>2000</v>
      </c>
      <c r="N291" s="18" t="s">
        <v>562</v>
      </c>
    </row>
    <row r="292" ht="15" customHeight="1" spans="1:14" x14ac:dyDescent="0.25">
      <c r="A292" s="11" t="s">
        <v>1149</v>
      </c>
      <c r="B292" s="11">
        <v>1</v>
      </c>
      <c r="C292" s="12" t="s">
        <v>44</v>
      </c>
      <c r="D292" s="11" t="s">
        <v>143</v>
      </c>
      <c r="E292" s="12" t="s">
        <v>144</v>
      </c>
      <c r="F292" s="12" t="s">
        <v>1150</v>
      </c>
      <c r="G292" s="11" t="s">
        <v>113</v>
      </c>
      <c r="H292" s="18" t="str">
        <f>IFERROR(INDEX('المحافظات Governorates'!$E$2:$E$151,MATCH(D292,'المحافظات Governorates'!$A$2:$A$151,0)),"")</f>
        <v>Afif</v>
      </c>
      <c r="I292" s="18" t="str">
        <f>IFERROR(INDEX('المناطق Regions'!$C$2:$C$15,MATCH(B292,'المناطق Regions'!$A$2:$A$15,0)),"")</f>
        <v>Riyadh</v>
      </c>
      <c r="J292" s="18" t="str">
        <f>F292&amp;", "&amp;E292&amp;", Saudi Arabia"</f>
        <v>ابرقيه, عفيف, Saudi Arabia</v>
      </c>
      <c r="K292" s="18">
        <v>24.159857</v>
      </c>
      <c r="L292" s="18">
        <v>42.890823</v>
      </c>
      <c r="M292" s="18">
        <v>2000</v>
      </c>
      <c r="N292" s="18" t="s">
        <v>562</v>
      </c>
    </row>
    <row r="293" ht="15" customHeight="1" spans="1:14" x14ac:dyDescent="0.25">
      <c r="A293" s="13" t="s">
        <v>1151</v>
      </c>
      <c r="B293" s="13">
        <v>1</v>
      </c>
      <c r="C293" s="14" t="s">
        <v>44</v>
      </c>
      <c r="D293" s="13" t="s">
        <v>143</v>
      </c>
      <c r="E293" s="14" t="s">
        <v>144</v>
      </c>
      <c r="F293" s="14" t="s">
        <v>1152</v>
      </c>
      <c r="G293" s="13" t="s">
        <v>113</v>
      </c>
      <c r="H293" s="18" t="str">
        <f>IFERROR(INDEX('المحافظات Governorates'!$E$2:$E$151,MATCH(D293,'المحافظات Governorates'!$A$2:$A$151,0)),"")</f>
        <v>Afif</v>
      </c>
      <c r="I293" s="18" t="str">
        <f>IFERROR(INDEX('المناطق Regions'!$C$2:$C$15,MATCH(B293,'المناطق Regions'!$A$2:$A$15,0)),"")</f>
        <v>Riyadh</v>
      </c>
      <c r="J293" s="18" t="str">
        <f>F293&amp;", "&amp;E293&amp;", Saudi Arabia"</f>
        <v>عبلاء, عفيف, Saudi Arabia</v>
      </c>
      <c r="K293" s="18">
        <v>23.744307</v>
      </c>
      <c r="L293" s="18">
        <v>42.895223</v>
      </c>
      <c r="M293" s="18">
        <v>2000</v>
      </c>
      <c r="N293" s="18" t="s">
        <v>562</v>
      </c>
    </row>
    <row r="294" ht="15" customHeight="1" spans="1:14" x14ac:dyDescent="0.25">
      <c r="A294" s="11" t="s">
        <v>1153</v>
      </c>
      <c r="B294" s="11">
        <v>1</v>
      </c>
      <c r="C294" s="12" t="s">
        <v>44</v>
      </c>
      <c r="D294" s="11" t="s">
        <v>143</v>
      </c>
      <c r="E294" s="12" t="s">
        <v>144</v>
      </c>
      <c r="F294" s="12" t="s">
        <v>1154</v>
      </c>
      <c r="G294" s="11" t="s">
        <v>149</v>
      </c>
      <c r="H294" s="18" t="str">
        <f>IFERROR(INDEX('المحافظات Governorates'!$E$2:$E$151,MATCH(D294,'المحافظات Governorates'!$A$2:$A$151,0)),"")</f>
        <v>Afif</v>
      </c>
      <c r="I294" s="18" t="str">
        <f>IFERROR(INDEX('المناطق Regions'!$C$2:$C$15,MATCH(B294,'المناطق Regions'!$A$2:$A$15,0)),"")</f>
        <v>Riyadh</v>
      </c>
      <c r="J294" s="18" t="str">
        <f>F294&amp;", "&amp;E294&amp;", Saudi Arabia"</f>
        <v>ام ارطاء, عفيف, Saudi Arabia</v>
      </c>
      <c r="K294" s="18">
        <v>24.651659</v>
      </c>
      <c r="L294" s="18">
        <v>42.272593</v>
      </c>
      <c r="M294" s="18">
        <v>2000</v>
      </c>
      <c r="N294" s="18" t="s">
        <v>562</v>
      </c>
    </row>
    <row r="295" ht="15" customHeight="1" spans="1:14" x14ac:dyDescent="0.25">
      <c r="A295" s="13" t="s">
        <v>1155</v>
      </c>
      <c r="B295" s="13">
        <v>1</v>
      </c>
      <c r="C295" s="14" t="s">
        <v>44</v>
      </c>
      <c r="D295" s="13" t="s">
        <v>143</v>
      </c>
      <c r="E295" s="14" t="s">
        <v>144</v>
      </c>
      <c r="F295" s="14" t="s">
        <v>1156</v>
      </c>
      <c r="G295" s="13" t="s">
        <v>113</v>
      </c>
      <c r="H295" s="18" t="str">
        <f>IFERROR(INDEX('المحافظات Governorates'!$E$2:$E$151,MATCH(D295,'المحافظات Governorates'!$A$2:$A$151,0)),"")</f>
        <v>Afif</v>
      </c>
      <c r="I295" s="18" t="str">
        <f>IFERROR(INDEX('المناطق Regions'!$C$2:$C$15,MATCH(B295,'المناطق Regions'!$A$2:$A$15,0)),"")</f>
        <v>Riyadh</v>
      </c>
      <c r="J295" s="18" t="str">
        <f>F295&amp;", "&amp;E295&amp;", Saudi Arabia"</f>
        <v>بدائع العضيان, عفيف, Saudi Arabia</v>
      </c>
      <c r="K295" s="18">
        <v>24.348365</v>
      </c>
      <c r="L295" s="18">
        <v>43.276132</v>
      </c>
      <c r="M295" s="18">
        <v>2000</v>
      </c>
      <c r="N295" s="18" t="s">
        <v>562</v>
      </c>
    </row>
    <row r="296" ht="15" customHeight="1" spans="1:14" x14ac:dyDescent="0.25">
      <c r="A296" s="11" t="s">
        <v>1157</v>
      </c>
      <c r="B296" s="11">
        <v>1</v>
      </c>
      <c r="C296" s="12" t="s">
        <v>44</v>
      </c>
      <c r="D296" s="11" t="s">
        <v>143</v>
      </c>
      <c r="E296" s="12" t="s">
        <v>144</v>
      </c>
      <c r="F296" s="12" t="s">
        <v>1158</v>
      </c>
      <c r="G296" s="11" t="s">
        <v>149</v>
      </c>
      <c r="H296" s="18" t="str">
        <f>IFERROR(INDEX('المحافظات Governorates'!$E$2:$E$151,MATCH(D296,'المحافظات Governorates'!$A$2:$A$151,0)),"")</f>
        <v>Afif</v>
      </c>
      <c r="I296" s="18" t="str">
        <f>IFERROR(INDEX('المناطق Regions'!$C$2:$C$15,MATCH(B296,'المناطق Regions'!$A$2:$A$15,0)),"")</f>
        <v>Riyadh</v>
      </c>
      <c r="J296" s="18" t="str">
        <f>F296&amp;", "&amp;E296&amp;", Saudi Arabia"</f>
        <v>الخضاره, عفيف, Saudi Arabia</v>
      </c>
      <c r="K296" s="18">
        <v>23.599637</v>
      </c>
      <c r="L296" s="18">
        <v>42.403956</v>
      </c>
      <c r="M296" s="18">
        <v>2000</v>
      </c>
      <c r="N296" s="18" t="s">
        <v>562</v>
      </c>
    </row>
    <row r="297" ht="15" customHeight="1" spans="1:14" x14ac:dyDescent="0.25">
      <c r="A297" s="13" t="s">
        <v>1159</v>
      </c>
      <c r="B297" s="13">
        <v>1</v>
      </c>
      <c r="C297" s="14" t="s">
        <v>44</v>
      </c>
      <c r="D297" s="13" t="s">
        <v>143</v>
      </c>
      <c r="E297" s="14" t="s">
        <v>144</v>
      </c>
      <c r="F297" s="14" t="s">
        <v>1160</v>
      </c>
      <c r="G297" s="13" t="s">
        <v>149</v>
      </c>
      <c r="H297" s="18" t="str">
        <f>IFERROR(INDEX('المحافظات Governorates'!$E$2:$E$151,MATCH(D297,'المحافظات Governorates'!$A$2:$A$151,0)),"")</f>
        <v>Afif</v>
      </c>
      <c r="I297" s="18" t="str">
        <f>IFERROR(INDEX('المناطق Regions'!$C$2:$C$15,MATCH(B297,'المناطق Regions'!$A$2:$A$15,0)),"")</f>
        <v>Riyadh</v>
      </c>
      <c r="J297" s="18" t="str">
        <f>F297&amp;", "&amp;E297&amp;", Saudi Arabia"</f>
        <v>الاشعريه, عفيف, Saudi Arabia</v>
      </c>
      <c r="K297" s="18">
        <v>24.356152</v>
      </c>
      <c r="L297" s="18">
        <v>43.002329</v>
      </c>
      <c r="M297" s="18">
        <v>2000</v>
      </c>
      <c r="N297" s="18" t="s">
        <v>562</v>
      </c>
    </row>
    <row r="298" ht="15" customHeight="1" spans="1:14" x14ac:dyDescent="0.25">
      <c r="A298" s="11" t="s">
        <v>1161</v>
      </c>
      <c r="B298" s="11">
        <v>1</v>
      </c>
      <c r="C298" s="12" t="s">
        <v>44</v>
      </c>
      <c r="D298" s="11" t="s">
        <v>143</v>
      </c>
      <c r="E298" s="12" t="s">
        <v>144</v>
      </c>
      <c r="F298" s="12" t="s">
        <v>1162</v>
      </c>
      <c r="G298" s="11" t="s">
        <v>113</v>
      </c>
      <c r="H298" s="18" t="str">
        <f>IFERROR(INDEX('المحافظات Governorates'!$E$2:$E$151,MATCH(D298,'المحافظات Governorates'!$A$2:$A$151,0)),"")</f>
        <v>Afif</v>
      </c>
      <c r="I298" s="18" t="str">
        <f>IFERROR(INDEX('المناطق Regions'!$C$2:$C$15,MATCH(B298,'المناطق Regions'!$A$2:$A$15,0)),"")</f>
        <v>Riyadh</v>
      </c>
      <c r="J298" s="18" t="str">
        <f>F298&amp;", "&amp;E298&amp;", Saudi Arabia"</f>
        <v>الحنابج, عفيف, Saudi Arabia</v>
      </c>
      <c r="K298" s="18">
        <v>23.971245</v>
      </c>
      <c r="L298" s="18">
        <v>43.331944</v>
      </c>
      <c r="M298" s="18">
        <v>2000</v>
      </c>
      <c r="N298" s="18" t="s">
        <v>562</v>
      </c>
    </row>
    <row r="299" ht="15" customHeight="1" spans="1:14" x14ac:dyDescent="0.25">
      <c r="A299" s="13" t="s">
        <v>1163</v>
      </c>
      <c r="B299" s="13">
        <v>1</v>
      </c>
      <c r="C299" s="14" t="s">
        <v>44</v>
      </c>
      <c r="D299" s="13" t="s">
        <v>143</v>
      </c>
      <c r="E299" s="14" t="s">
        <v>144</v>
      </c>
      <c r="F299" s="14" t="s">
        <v>1164</v>
      </c>
      <c r="G299" s="13" t="s">
        <v>149</v>
      </c>
      <c r="H299" s="18" t="str">
        <f>IFERROR(INDEX('المحافظات Governorates'!$E$2:$E$151,MATCH(D299,'المحافظات Governorates'!$A$2:$A$151,0)),"")</f>
        <v>Afif</v>
      </c>
      <c r="I299" s="18" t="str">
        <f>IFERROR(INDEX('المناطق Regions'!$C$2:$C$15,MATCH(B299,'المناطق Regions'!$A$2:$A$15,0)),"")</f>
        <v>Riyadh</v>
      </c>
      <c r="J299" s="18" t="str">
        <f>F299&amp;", "&amp;E299&amp;", Saudi Arabia"</f>
        <v>اللنسيات, عفيف, Saudi Arabia</v>
      </c>
      <c r="K299" s="18">
        <v>23.657367</v>
      </c>
      <c r="L299" s="18">
        <v>42.581023</v>
      </c>
      <c r="M299" s="18">
        <v>2000</v>
      </c>
      <c r="N299" s="18" t="s">
        <v>562</v>
      </c>
    </row>
    <row r="300" ht="15" customHeight="1" spans="1:14" x14ac:dyDescent="0.25">
      <c r="A300" s="11" t="s">
        <v>1165</v>
      </c>
      <c r="B300" s="11">
        <v>1</v>
      </c>
      <c r="C300" s="12" t="s">
        <v>44</v>
      </c>
      <c r="D300" s="11" t="s">
        <v>143</v>
      </c>
      <c r="E300" s="12" t="s">
        <v>144</v>
      </c>
      <c r="F300" s="12" t="s">
        <v>1166</v>
      </c>
      <c r="G300" s="11" t="s">
        <v>149</v>
      </c>
      <c r="H300" s="18" t="str">
        <f>IFERROR(INDEX('المحافظات Governorates'!$E$2:$E$151,MATCH(D300,'المحافظات Governorates'!$A$2:$A$151,0)),"")</f>
        <v>Afif</v>
      </c>
      <c r="I300" s="18" t="str">
        <f>IFERROR(INDEX('المناطق Regions'!$C$2:$C$15,MATCH(B300,'المناطق Regions'!$A$2:$A$15,0)),"")</f>
        <v>Riyadh</v>
      </c>
      <c r="J300" s="18" t="str">
        <f>F300&amp;", "&amp;E300&amp;", Saudi Arabia"</f>
        <v>محاماة ابن زريبه, عفيف, Saudi Arabia</v>
      </c>
      <c r="K300" s="18">
        <v>23.700366</v>
      </c>
      <c r="L300" s="18">
        <v>42.831437</v>
      </c>
      <c r="M300" s="18">
        <v>163946</v>
      </c>
      <c r="N300" s="18" t="s">
        <v>1167</v>
      </c>
    </row>
    <row r="301" ht="15" customHeight="1" spans="1:14" x14ac:dyDescent="0.25">
      <c r="A301" s="13" t="s">
        <v>1168</v>
      </c>
      <c r="B301" s="13">
        <v>1</v>
      </c>
      <c r="C301" s="14" t="s">
        <v>44</v>
      </c>
      <c r="D301" s="13" t="s">
        <v>143</v>
      </c>
      <c r="E301" s="14" t="s">
        <v>144</v>
      </c>
      <c r="F301" s="14" t="s">
        <v>1169</v>
      </c>
      <c r="G301" s="13" t="s">
        <v>149</v>
      </c>
      <c r="H301" s="18" t="str">
        <f>IFERROR(INDEX('المحافظات Governorates'!$E$2:$E$151,MATCH(D301,'المحافظات Governorates'!$A$2:$A$151,0)),"")</f>
        <v>Afif</v>
      </c>
      <c r="I301" s="18" t="str">
        <f>IFERROR(INDEX('المناطق Regions'!$C$2:$C$15,MATCH(B301,'المناطق Regions'!$A$2:$A$15,0)),"")</f>
        <v>Riyadh</v>
      </c>
      <c r="J301" s="18" t="str">
        <f>F301&amp;", "&amp;E301&amp;", Saudi Arabia"</f>
        <v>البحره, عفيف, Saudi Arabia</v>
      </c>
      <c r="K301" s="18">
        <v>24.632697</v>
      </c>
      <c r="L301" s="18">
        <v>42.20476</v>
      </c>
      <c r="M301" s="18">
        <v>2000</v>
      </c>
      <c r="N301" s="18" t="s">
        <v>562</v>
      </c>
    </row>
    <row r="302" ht="15" customHeight="1" spans="1:14" x14ac:dyDescent="0.25">
      <c r="A302" s="11" t="s">
        <v>1170</v>
      </c>
      <c r="B302" s="11">
        <v>1</v>
      </c>
      <c r="C302" s="12" t="s">
        <v>44</v>
      </c>
      <c r="D302" s="11" t="s">
        <v>143</v>
      </c>
      <c r="E302" s="12" t="s">
        <v>144</v>
      </c>
      <c r="F302" s="12" t="s">
        <v>1171</v>
      </c>
      <c r="G302" s="11" t="s">
        <v>149</v>
      </c>
      <c r="H302" s="18" t="str">
        <f>IFERROR(INDEX('المحافظات Governorates'!$E$2:$E$151,MATCH(D302,'المحافظات Governorates'!$A$2:$A$151,0)),"")</f>
        <v>Afif</v>
      </c>
      <c r="I302" s="18" t="str">
        <f>IFERROR(INDEX('المناطق Regions'!$C$2:$C$15,MATCH(B302,'المناطق Regions'!$A$2:$A$15,0)),"")</f>
        <v>Riyadh</v>
      </c>
      <c r="J302" s="18" t="str">
        <f>F302&amp;", "&amp;E302&amp;", Saudi Arabia"</f>
        <v>بطاحة, عفيف, Saudi Arabia</v>
      </c>
      <c r="K302" s="18">
        <v>24.098123</v>
      </c>
      <c r="L302" s="18">
        <v>42.949914</v>
      </c>
      <c r="M302" s="18">
        <v>2000</v>
      </c>
      <c r="N302" s="18" t="s">
        <v>562</v>
      </c>
    </row>
    <row r="303" ht="15" customHeight="1" spans="1:14" x14ac:dyDescent="0.25">
      <c r="A303" s="13" t="s">
        <v>1172</v>
      </c>
      <c r="B303" s="13">
        <v>1</v>
      </c>
      <c r="C303" s="14" t="s">
        <v>44</v>
      </c>
      <c r="D303" s="13" t="s">
        <v>143</v>
      </c>
      <c r="E303" s="14" t="s">
        <v>144</v>
      </c>
      <c r="F303" s="14" t="s">
        <v>1173</v>
      </c>
      <c r="G303" s="13" t="s">
        <v>149</v>
      </c>
      <c r="H303" s="18" t="str">
        <f>IFERROR(INDEX('المحافظات Governorates'!$E$2:$E$151,MATCH(D303,'المحافظات Governorates'!$A$2:$A$151,0)),"")</f>
        <v>Afif</v>
      </c>
      <c r="I303" s="18" t="str">
        <f>IFERROR(INDEX('المناطق Regions'!$C$2:$C$15,MATCH(B303,'المناطق Regions'!$A$2:$A$15,0)),"")</f>
        <v>Riyadh</v>
      </c>
      <c r="J303" s="18" t="str">
        <f>F303&amp;", "&amp;E303&amp;", Saudi Arabia"</f>
        <v>الصقره, عفيف, Saudi Arabia</v>
      </c>
      <c r="K303" s="18">
        <v>23.700366</v>
      </c>
      <c r="L303" s="18">
        <v>42.831437</v>
      </c>
      <c r="M303" s="18">
        <v>163946</v>
      </c>
      <c r="N303" s="18" t="s">
        <v>1167</v>
      </c>
    </row>
    <row r="304" ht="15" customHeight="1" spans="1:14" x14ac:dyDescent="0.25">
      <c r="A304" s="11" t="s">
        <v>1174</v>
      </c>
      <c r="B304" s="11">
        <v>1</v>
      </c>
      <c r="C304" s="12" t="s">
        <v>44</v>
      </c>
      <c r="D304" s="11" t="s">
        <v>143</v>
      </c>
      <c r="E304" s="12" t="s">
        <v>144</v>
      </c>
      <c r="F304" s="12" t="s">
        <v>1175</v>
      </c>
      <c r="G304" s="11" t="s">
        <v>149</v>
      </c>
      <c r="H304" s="18" t="str">
        <f>IFERROR(INDEX('المحافظات Governorates'!$E$2:$E$151,MATCH(D304,'المحافظات Governorates'!$A$2:$A$151,0)),"")</f>
        <v>Afif</v>
      </c>
      <c r="I304" s="18" t="str">
        <f>IFERROR(INDEX('المناطق Regions'!$C$2:$C$15,MATCH(B304,'المناطق Regions'!$A$2:$A$15,0)),"")</f>
        <v>Riyadh</v>
      </c>
      <c r="J304" s="18" t="str">
        <f>F304&amp;", "&amp;E304&amp;", Saudi Arabia"</f>
        <v>المكلاه, عفيف, Saudi Arabia</v>
      </c>
      <c r="K304" s="18">
        <v>24.527357</v>
      </c>
      <c r="L304" s="18">
        <v>42.494729</v>
      </c>
      <c r="M304" s="18">
        <v>2000</v>
      </c>
      <c r="N304" s="18" t="s">
        <v>562</v>
      </c>
    </row>
    <row r="305" ht="15" customHeight="1" spans="1:14" x14ac:dyDescent="0.25">
      <c r="A305" s="13" t="s">
        <v>1176</v>
      </c>
      <c r="B305" s="13">
        <v>1</v>
      </c>
      <c r="C305" s="14" t="s">
        <v>44</v>
      </c>
      <c r="D305" s="13" t="s">
        <v>143</v>
      </c>
      <c r="E305" s="14" t="s">
        <v>144</v>
      </c>
      <c r="F305" s="14" t="s">
        <v>1177</v>
      </c>
      <c r="G305" s="13" t="s">
        <v>149</v>
      </c>
      <c r="H305" s="18" t="str">
        <f>IFERROR(INDEX('المحافظات Governorates'!$E$2:$E$151,MATCH(D305,'المحافظات Governorates'!$A$2:$A$151,0)),"")</f>
        <v>Afif</v>
      </c>
      <c r="I305" s="18" t="str">
        <f>IFERROR(INDEX('المناطق Regions'!$C$2:$C$15,MATCH(B305,'المناطق Regions'!$A$2:$A$15,0)),"")</f>
        <v>Riyadh</v>
      </c>
      <c r="J305" s="18" t="str">
        <f>F305&amp;", "&amp;E305&amp;", Saudi Arabia"</f>
        <v>الجثوم, عفيف, Saudi Arabia</v>
      </c>
      <c r="K305" s="18">
        <v>24.362353</v>
      </c>
      <c r="L305" s="18">
        <v>42.425303</v>
      </c>
      <c r="M305" s="18">
        <v>2000</v>
      </c>
      <c r="N305" s="18" t="s">
        <v>562</v>
      </c>
    </row>
    <row r="306" ht="15" customHeight="1" spans="1:14" x14ac:dyDescent="0.25">
      <c r="A306" s="11" t="s">
        <v>1178</v>
      </c>
      <c r="B306" s="11">
        <v>1</v>
      </c>
      <c r="C306" s="12" t="s">
        <v>44</v>
      </c>
      <c r="D306" s="11" t="s">
        <v>143</v>
      </c>
      <c r="E306" s="12" t="s">
        <v>144</v>
      </c>
      <c r="F306" s="12" t="s">
        <v>1179</v>
      </c>
      <c r="G306" s="11" t="s">
        <v>149</v>
      </c>
      <c r="H306" s="18" t="str">
        <f>IFERROR(INDEX('المحافظات Governorates'!$E$2:$E$151,MATCH(D306,'المحافظات Governorates'!$A$2:$A$151,0)),"")</f>
        <v>Afif</v>
      </c>
      <c r="I306" s="18" t="str">
        <f>IFERROR(INDEX('المناطق Regions'!$C$2:$C$15,MATCH(B306,'المناطق Regions'!$A$2:$A$15,0)),"")</f>
        <v>Riyadh</v>
      </c>
      <c r="J306" s="18" t="str">
        <f>F306&amp;", "&amp;E306&amp;", Saudi Arabia"</f>
        <v>الشواطن, عفيف, Saudi Arabia</v>
      </c>
      <c r="K306" s="18">
        <v>24.394908</v>
      </c>
      <c r="L306" s="18">
        <v>42.148024</v>
      </c>
      <c r="M306" s="18">
        <v>2000</v>
      </c>
      <c r="N306" s="18" t="s">
        <v>562</v>
      </c>
    </row>
    <row r="307" ht="15" customHeight="1" spans="1:14" x14ac:dyDescent="0.25">
      <c r="A307" s="13" t="s">
        <v>1180</v>
      </c>
      <c r="B307" s="13">
        <v>1</v>
      </c>
      <c r="C307" s="14" t="s">
        <v>44</v>
      </c>
      <c r="D307" s="13" t="s">
        <v>143</v>
      </c>
      <c r="E307" s="14" t="s">
        <v>144</v>
      </c>
      <c r="F307" s="14" t="s">
        <v>1181</v>
      </c>
      <c r="G307" s="13" t="s">
        <v>149</v>
      </c>
      <c r="H307" s="18" t="str">
        <f>IFERROR(INDEX('المحافظات Governorates'!$E$2:$E$151,MATCH(D307,'المحافظات Governorates'!$A$2:$A$151,0)),"")</f>
        <v>Afif</v>
      </c>
      <c r="I307" s="18" t="str">
        <f>IFERROR(INDEX('المناطق Regions'!$C$2:$C$15,MATCH(B307,'المناطق Regions'!$A$2:$A$15,0)),"")</f>
        <v>Riyadh</v>
      </c>
      <c r="J307" s="18" t="str">
        <f>F307&amp;", "&amp;E307&amp;", Saudi Arabia"</f>
        <v>المردمه, عفيف, Saudi Arabia</v>
      </c>
      <c r="K307" s="18">
        <v>23.70266</v>
      </c>
      <c r="L307" s="18">
        <v>43.134384</v>
      </c>
      <c r="M307" s="18">
        <v>2000</v>
      </c>
      <c r="N307" s="18" t="s">
        <v>562</v>
      </c>
    </row>
    <row r="308" ht="15" customHeight="1" spans="1:14" x14ac:dyDescent="0.25">
      <c r="A308" s="11" t="s">
        <v>1182</v>
      </c>
      <c r="B308" s="11">
        <v>1</v>
      </c>
      <c r="C308" s="12" t="s">
        <v>44</v>
      </c>
      <c r="D308" s="11" t="s">
        <v>143</v>
      </c>
      <c r="E308" s="12" t="s">
        <v>144</v>
      </c>
      <c r="F308" s="12" t="s">
        <v>1183</v>
      </c>
      <c r="G308" s="11" t="s">
        <v>149</v>
      </c>
      <c r="H308" s="18" t="str">
        <f>IFERROR(INDEX('المحافظات Governorates'!$E$2:$E$151,MATCH(D308,'المحافظات Governorates'!$A$2:$A$151,0)),"")</f>
        <v>Afif</v>
      </c>
      <c r="I308" s="18" t="str">
        <f>IFERROR(INDEX('المناطق Regions'!$C$2:$C$15,MATCH(B308,'المناطق Regions'!$A$2:$A$15,0)),"")</f>
        <v>Riyadh</v>
      </c>
      <c r="J308" s="18" t="str">
        <f>F308&amp;", "&amp;E308&amp;", Saudi Arabia"</f>
        <v>محامه بن مصوى, عفيف, Saudi Arabia</v>
      </c>
      <c r="K308" s="18">
        <v>23.700366</v>
      </c>
      <c r="L308" s="18">
        <v>42.831437</v>
      </c>
      <c r="M308" s="18">
        <v>163946</v>
      </c>
      <c r="N308" s="18" t="s">
        <v>1167</v>
      </c>
    </row>
    <row r="309" ht="15" customHeight="1" spans="1:14" x14ac:dyDescent="0.25">
      <c r="A309" s="13" t="s">
        <v>1184</v>
      </c>
      <c r="B309" s="13">
        <v>1</v>
      </c>
      <c r="C309" s="14" t="s">
        <v>44</v>
      </c>
      <c r="D309" s="13" t="s">
        <v>143</v>
      </c>
      <c r="E309" s="14" t="s">
        <v>144</v>
      </c>
      <c r="F309" s="14" t="s">
        <v>1185</v>
      </c>
      <c r="G309" s="13" t="s">
        <v>149</v>
      </c>
      <c r="H309" s="18" t="str">
        <f>IFERROR(INDEX('المحافظات Governorates'!$E$2:$E$151,MATCH(D309,'المحافظات Governorates'!$A$2:$A$151,0)),"")</f>
        <v>Afif</v>
      </c>
      <c r="I309" s="18" t="str">
        <f>IFERROR(INDEX('المناطق Regions'!$C$2:$C$15,MATCH(B309,'المناطق Regions'!$A$2:$A$15,0)),"")</f>
        <v>Riyadh</v>
      </c>
      <c r="J309" s="18" t="str">
        <f>F309&amp;", "&amp;E309&amp;", Saudi Arabia"</f>
        <v>ابو عشره, عفيف, Saudi Arabia</v>
      </c>
      <c r="K309" s="18">
        <v>24.124088</v>
      </c>
      <c r="L309" s="18">
        <v>43.290768</v>
      </c>
      <c r="M309" s="18">
        <v>2000</v>
      </c>
      <c r="N309" s="18" t="s">
        <v>562</v>
      </c>
    </row>
    <row r="310" ht="15" customHeight="1" spans="1:14" x14ac:dyDescent="0.25">
      <c r="A310" s="11" t="s">
        <v>1186</v>
      </c>
      <c r="B310" s="11">
        <v>1</v>
      </c>
      <c r="C310" s="12" t="s">
        <v>44</v>
      </c>
      <c r="D310" s="11" t="s">
        <v>143</v>
      </c>
      <c r="E310" s="12" t="s">
        <v>144</v>
      </c>
      <c r="F310" s="12" t="s">
        <v>1187</v>
      </c>
      <c r="G310" s="11" t="s">
        <v>149</v>
      </c>
      <c r="H310" s="18" t="str">
        <f>IFERROR(INDEX('المحافظات Governorates'!$E$2:$E$151,MATCH(D310,'المحافظات Governorates'!$A$2:$A$151,0)),"")</f>
        <v>Afif</v>
      </c>
      <c r="I310" s="18" t="str">
        <f>IFERROR(INDEX('المناطق Regions'!$C$2:$C$15,MATCH(B310,'المناطق Regions'!$A$2:$A$15,0)),"")</f>
        <v>Riyadh</v>
      </c>
      <c r="J310" s="18" t="str">
        <f>F310&amp;", "&amp;E310&amp;", Saudi Arabia"</f>
        <v>المعلق, عفيف, Saudi Arabia</v>
      </c>
      <c r="K310" s="18">
        <v>24.186401</v>
      </c>
      <c r="L310" s="18">
        <v>43.174038</v>
      </c>
      <c r="M310" s="18">
        <v>2000</v>
      </c>
      <c r="N310" s="18" t="s">
        <v>562</v>
      </c>
    </row>
    <row r="311" ht="15" customHeight="1" spans="1:14" x14ac:dyDescent="0.25">
      <c r="A311" s="13" t="s">
        <v>1188</v>
      </c>
      <c r="B311" s="13">
        <v>1</v>
      </c>
      <c r="C311" s="14" t="s">
        <v>44</v>
      </c>
      <c r="D311" s="13" t="s">
        <v>143</v>
      </c>
      <c r="E311" s="14" t="s">
        <v>144</v>
      </c>
      <c r="F311" s="14" t="s">
        <v>1189</v>
      </c>
      <c r="G311" s="13" t="s">
        <v>149</v>
      </c>
      <c r="H311" s="18" t="str">
        <f>IFERROR(INDEX('المحافظات Governorates'!$E$2:$E$151,MATCH(D311,'المحافظات Governorates'!$A$2:$A$151,0)),"")</f>
        <v>Afif</v>
      </c>
      <c r="I311" s="18" t="str">
        <f>IFERROR(INDEX('المناطق Regions'!$C$2:$C$15,MATCH(B311,'المناطق Regions'!$A$2:$A$15,0)),"")</f>
        <v>Riyadh</v>
      </c>
      <c r="J311" s="18" t="str">
        <f>F311&amp;", "&amp;E311&amp;", Saudi Arabia"</f>
        <v>وبره, عفيف, Saudi Arabia</v>
      </c>
      <c r="K311" s="18">
        <v>24.115813</v>
      </c>
      <c r="L311" s="18">
        <v>43.270104</v>
      </c>
      <c r="M311" s="18">
        <v>2000</v>
      </c>
      <c r="N311" s="18" t="s">
        <v>562</v>
      </c>
    </row>
    <row r="312" ht="15" customHeight="1" spans="1:14" x14ac:dyDescent="0.25">
      <c r="A312" s="11" t="s">
        <v>1190</v>
      </c>
      <c r="B312" s="11">
        <v>1</v>
      </c>
      <c r="C312" s="12" t="s">
        <v>44</v>
      </c>
      <c r="D312" s="11" t="s">
        <v>143</v>
      </c>
      <c r="E312" s="12" t="s">
        <v>144</v>
      </c>
      <c r="F312" s="12" t="s">
        <v>1191</v>
      </c>
      <c r="G312" s="11" t="s">
        <v>149</v>
      </c>
      <c r="H312" s="18" t="str">
        <f>IFERROR(INDEX('المحافظات Governorates'!$E$2:$E$151,MATCH(D312,'المحافظات Governorates'!$A$2:$A$151,0)),"")</f>
        <v>Afif</v>
      </c>
      <c r="I312" s="18" t="str">
        <f>IFERROR(INDEX('المناطق Regions'!$C$2:$C$15,MATCH(B312,'المناطق Regions'!$A$2:$A$15,0)),"")</f>
        <v>Riyadh</v>
      </c>
      <c r="J312" s="18" t="str">
        <f>F312&amp;", "&amp;E312&amp;", Saudi Arabia"</f>
        <v>فيضة نومان, عفيف, Saudi Arabia</v>
      </c>
      <c r="K312" s="18">
        <v>24.455619</v>
      </c>
      <c r="L312" s="18">
        <v>42.933008</v>
      </c>
      <c r="M312" s="18">
        <v>2000</v>
      </c>
      <c r="N312" s="18" t="s">
        <v>562</v>
      </c>
    </row>
    <row r="313" ht="15" customHeight="1" spans="1:14" x14ac:dyDescent="0.25">
      <c r="A313" s="13" t="s">
        <v>1192</v>
      </c>
      <c r="B313" s="13">
        <v>1</v>
      </c>
      <c r="C313" s="14" t="s">
        <v>44</v>
      </c>
      <c r="D313" s="13" t="s">
        <v>143</v>
      </c>
      <c r="E313" s="14" t="s">
        <v>144</v>
      </c>
      <c r="F313" s="14" t="s">
        <v>1193</v>
      </c>
      <c r="G313" s="13" t="s">
        <v>149</v>
      </c>
      <c r="H313" s="18" t="str">
        <f>IFERROR(INDEX('المحافظات Governorates'!$E$2:$E$151,MATCH(D313,'المحافظات Governorates'!$A$2:$A$151,0)),"")</f>
        <v>Afif</v>
      </c>
      <c r="I313" s="18" t="str">
        <f>IFERROR(INDEX('المناطق Regions'!$C$2:$C$15,MATCH(B313,'المناطق Regions'!$A$2:$A$15,0)),"")</f>
        <v>Riyadh</v>
      </c>
      <c r="J313" s="18" t="str">
        <f>F313&amp;", "&amp;E313&amp;", Saudi Arabia"</f>
        <v>الكفية, عفيف, Saudi Arabia</v>
      </c>
      <c r="K313" s="18">
        <v>24.529577</v>
      </c>
      <c r="L313" s="18">
        <v>42.865529</v>
      </c>
      <c r="M313" s="18">
        <v>2000</v>
      </c>
      <c r="N313" s="18" t="s">
        <v>562</v>
      </c>
    </row>
    <row r="314" ht="15" customHeight="1" spans="1:14" x14ac:dyDescent="0.25">
      <c r="A314" s="11" t="s">
        <v>1194</v>
      </c>
      <c r="B314" s="11">
        <v>1</v>
      </c>
      <c r="C314" s="12" t="s">
        <v>44</v>
      </c>
      <c r="D314" s="11" t="s">
        <v>143</v>
      </c>
      <c r="E314" s="12" t="s">
        <v>144</v>
      </c>
      <c r="F314" s="12" t="s">
        <v>1195</v>
      </c>
      <c r="G314" s="11" t="s">
        <v>149</v>
      </c>
      <c r="H314" s="18" t="str">
        <f>IFERROR(INDEX('المحافظات Governorates'!$E$2:$E$151,MATCH(D314,'المحافظات Governorates'!$A$2:$A$151,0)),"")</f>
        <v>Afif</v>
      </c>
      <c r="I314" s="18" t="str">
        <f>IFERROR(INDEX('المناطق Regions'!$C$2:$C$15,MATCH(B314,'المناطق Regions'!$A$2:$A$15,0)),"")</f>
        <v>Riyadh</v>
      </c>
      <c r="J314" s="18" t="str">
        <f>F314&amp;", "&amp;E314&amp;", Saudi Arabia"</f>
        <v>روضة عسعس, عفيف, Saudi Arabia</v>
      </c>
      <c r="K314" s="18">
        <v>24.550124</v>
      </c>
      <c r="L314" s="18">
        <v>42.956821</v>
      </c>
      <c r="M314" s="18">
        <v>2000</v>
      </c>
      <c r="N314" s="18" t="s">
        <v>562</v>
      </c>
    </row>
    <row r="315" ht="15" customHeight="1" spans="1:14" x14ac:dyDescent="0.25">
      <c r="A315" s="13" t="s">
        <v>1196</v>
      </c>
      <c r="B315" s="13">
        <v>1</v>
      </c>
      <c r="C315" s="14" t="s">
        <v>44</v>
      </c>
      <c r="D315" s="13" t="s">
        <v>143</v>
      </c>
      <c r="E315" s="14" t="s">
        <v>144</v>
      </c>
      <c r="F315" s="14" t="s">
        <v>1197</v>
      </c>
      <c r="G315" s="13" t="s">
        <v>149</v>
      </c>
      <c r="H315" s="18" t="str">
        <f>IFERROR(INDEX('المحافظات Governorates'!$E$2:$E$151,MATCH(D315,'المحافظات Governorates'!$A$2:$A$151,0)),"")</f>
        <v>Afif</v>
      </c>
      <c r="I315" s="18" t="str">
        <f>IFERROR(INDEX('المناطق Regions'!$C$2:$C$15,MATCH(B315,'المناطق Regions'!$A$2:$A$15,0)),"")</f>
        <v>Riyadh</v>
      </c>
      <c r="J315" s="18" t="str">
        <f>F315&amp;", "&amp;E315&amp;", Saudi Arabia"</f>
        <v>العسيبي, عفيف, Saudi Arabia</v>
      </c>
      <c r="K315" s="18">
        <v>23.986331</v>
      </c>
      <c r="L315" s="18">
        <v>42.470627</v>
      </c>
      <c r="M315" s="18">
        <v>2000</v>
      </c>
      <c r="N315" s="18" t="s">
        <v>562</v>
      </c>
    </row>
    <row r="316" ht="15" customHeight="1" spans="1:14" x14ac:dyDescent="0.25">
      <c r="A316" s="11" t="s">
        <v>1198</v>
      </c>
      <c r="B316" s="11">
        <v>1</v>
      </c>
      <c r="C316" s="12" t="s">
        <v>44</v>
      </c>
      <c r="D316" s="11" t="s">
        <v>143</v>
      </c>
      <c r="E316" s="12" t="s">
        <v>144</v>
      </c>
      <c r="F316" s="12" t="s">
        <v>1199</v>
      </c>
      <c r="G316" s="11" t="s">
        <v>149</v>
      </c>
      <c r="H316" s="18" t="str">
        <f>IFERROR(INDEX('المحافظات Governorates'!$E$2:$E$151,MATCH(D316,'المحافظات Governorates'!$A$2:$A$151,0)),"")</f>
        <v>Afif</v>
      </c>
      <c r="I316" s="18" t="str">
        <f>IFERROR(INDEX('المناطق Regions'!$C$2:$C$15,MATCH(B316,'المناطق Regions'!$A$2:$A$15,0)),"")</f>
        <v>Riyadh</v>
      </c>
      <c r="J316" s="18" t="str">
        <f>F316&amp;", "&amp;E316&amp;", Saudi Arabia"</f>
        <v>دارة المردمة, عفيف, Saudi Arabia</v>
      </c>
      <c r="K316" s="18">
        <v>23.683251</v>
      </c>
      <c r="L316" s="18">
        <v>43.118263</v>
      </c>
      <c r="M316" s="18">
        <v>2000</v>
      </c>
      <c r="N316" s="18" t="s">
        <v>562</v>
      </c>
    </row>
    <row r="317" ht="15" customHeight="1" spans="1:14" x14ac:dyDescent="0.25">
      <c r="A317" s="13" t="s">
        <v>1200</v>
      </c>
      <c r="B317" s="13">
        <v>1</v>
      </c>
      <c r="C317" s="14" t="s">
        <v>44</v>
      </c>
      <c r="D317" s="13" t="s">
        <v>143</v>
      </c>
      <c r="E317" s="14" t="s">
        <v>144</v>
      </c>
      <c r="F317" s="14" t="s">
        <v>1201</v>
      </c>
      <c r="G317" s="13" t="s">
        <v>149</v>
      </c>
      <c r="H317" s="18" t="str">
        <f>IFERROR(INDEX('المحافظات Governorates'!$E$2:$E$151,MATCH(D317,'المحافظات Governorates'!$A$2:$A$151,0)),"")</f>
        <v>Afif</v>
      </c>
      <c r="I317" s="18" t="str">
        <f>IFERROR(INDEX('المناطق Regions'!$C$2:$C$15,MATCH(B317,'المناطق Regions'!$A$2:$A$15,0)),"")</f>
        <v>Riyadh</v>
      </c>
      <c r="J317" s="18" t="str">
        <f>F317&amp;", "&amp;E317&amp;", Saudi Arabia"</f>
        <v>الصفوية, عفيف, Saudi Arabia</v>
      </c>
      <c r="K317" s="18">
        <v>24.422035</v>
      </c>
      <c r="L317" s="18">
        <v>42.692957</v>
      </c>
      <c r="M317" s="18">
        <v>2000</v>
      </c>
      <c r="N317" s="18" t="s">
        <v>562</v>
      </c>
    </row>
    <row r="318" ht="15" customHeight="1" spans="1:14" x14ac:dyDescent="0.25">
      <c r="A318" s="11" t="s">
        <v>1202</v>
      </c>
      <c r="B318" s="11">
        <v>1</v>
      </c>
      <c r="C318" s="12" t="s">
        <v>44</v>
      </c>
      <c r="D318" s="11" t="s">
        <v>143</v>
      </c>
      <c r="E318" s="12" t="s">
        <v>144</v>
      </c>
      <c r="F318" s="12" t="s">
        <v>1203</v>
      </c>
      <c r="G318" s="11" t="s">
        <v>149</v>
      </c>
      <c r="H318" s="18" t="str">
        <f>IFERROR(INDEX('المحافظات Governorates'!$E$2:$E$151,MATCH(D318,'المحافظات Governorates'!$A$2:$A$151,0)),"")</f>
        <v>Afif</v>
      </c>
      <c r="I318" s="18" t="str">
        <f>IFERROR(INDEX('المناطق Regions'!$C$2:$C$15,MATCH(B318,'المناطق Regions'!$A$2:$A$15,0)),"")</f>
        <v>Riyadh</v>
      </c>
      <c r="J318" s="18" t="str">
        <f>F318&amp;", "&amp;E318&amp;", Saudi Arabia"</f>
        <v>أم سرحه, عفيف, Saudi Arabia</v>
      </c>
      <c r="K318" s="18">
        <v>23.700366</v>
      </c>
      <c r="L318" s="18">
        <v>42.831437</v>
      </c>
      <c r="M318" s="18">
        <v>163946</v>
      </c>
      <c r="N318" s="18" t="s">
        <v>1167</v>
      </c>
    </row>
    <row r="319" ht="15" customHeight="1" spans="1:14" x14ac:dyDescent="0.25">
      <c r="A319" s="13" t="s">
        <v>1204</v>
      </c>
      <c r="B319" s="13">
        <v>1</v>
      </c>
      <c r="C319" s="14" t="s">
        <v>44</v>
      </c>
      <c r="D319" s="13" t="s">
        <v>143</v>
      </c>
      <c r="E319" s="14" t="s">
        <v>144</v>
      </c>
      <c r="F319" s="14" t="s">
        <v>1205</v>
      </c>
      <c r="G319" s="13" t="s">
        <v>149</v>
      </c>
      <c r="H319" s="18" t="str">
        <f>IFERROR(INDEX('المحافظات Governorates'!$E$2:$E$151,MATCH(D319,'المحافظات Governorates'!$A$2:$A$151,0)),"")</f>
        <v>Afif</v>
      </c>
      <c r="I319" s="18" t="str">
        <f>IFERROR(INDEX('المناطق Regions'!$C$2:$C$15,MATCH(B319,'المناطق Regions'!$A$2:$A$15,0)),"")</f>
        <v>Riyadh</v>
      </c>
      <c r="J319" s="18" t="str">
        <f>F319&amp;", "&amp;E319&amp;", Saudi Arabia"</f>
        <v>المنصورة, عفيف, Saudi Arabia</v>
      </c>
      <c r="K319" s="18">
        <v>23.866923</v>
      </c>
      <c r="L319" s="18">
        <v>42.699823</v>
      </c>
      <c r="M319" s="18">
        <v>2000</v>
      </c>
      <c r="N319" s="18" t="s">
        <v>562</v>
      </c>
    </row>
    <row r="320" ht="15" customHeight="1" spans="1:14" x14ac:dyDescent="0.25">
      <c r="A320" s="11" t="s">
        <v>1206</v>
      </c>
      <c r="B320" s="11">
        <v>1</v>
      </c>
      <c r="C320" s="12" t="s">
        <v>44</v>
      </c>
      <c r="D320" s="11" t="s">
        <v>143</v>
      </c>
      <c r="E320" s="12" t="s">
        <v>144</v>
      </c>
      <c r="F320" s="12" t="s">
        <v>1207</v>
      </c>
      <c r="G320" s="11" t="s">
        <v>149</v>
      </c>
      <c r="H320" s="18" t="str">
        <f>IFERROR(INDEX('المحافظات Governorates'!$E$2:$E$151,MATCH(D320,'المحافظات Governorates'!$A$2:$A$151,0)),"")</f>
        <v>Afif</v>
      </c>
      <c r="I320" s="18" t="str">
        <f>IFERROR(INDEX('المناطق Regions'!$C$2:$C$15,MATCH(B320,'المناطق Regions'!$A$2:$A$15,0)),"")</f>
        <v>Riyadh</v>
      </c>
      <c r="J320" s="18" t="str">
        <f>F320&amp;", "&amp;E320&amp;", Saudi Arabia"</f>
        <v>الحمادة, عفيف, Saudi Arabia</v>
      </c>
      <c r="K320" s="18">
        <v>24.284202</v>
      </c>
      <c r="L320" s="18">
        <v>42.876672</v>
      </c>
      <c r="M320" s="18">
        <v>2000</v>
      </c>
      <c r="N320" s="18" t="s">
        <v>562</v>
      </c>
    </row>
    <row r="321" ht="15" customHeight="1" spans="1:14" x14ac:dyDescent="0.25">
      <c r="A321" s="13" t="s">
        <v>1208</v>
      </c>
      <c r="B321" s="13">
        <v>1</v>
      </c>
      <c r="C321" s="14" t="s">
        <v>44</v>
      </c>
      <c r="D321" s="13" t="s">
        <v>146</v>
      </c>
      <c r="E321" s="14" t="s">
        <v>147</v>
      </c>
      <c r="F321" s="14" t="s">
        <v>1209</v>
      </c>
      <c r="G321" s="13" t="s">
        <v>113</v>
      </c>
      <c r="H321" s="18" t="str">
        <f>IFERROR(INDEX('المحافظات Governorates'!$E$2:$E$151,MATCH(D321,'المحافظات Governorates'!$A$2:$A$151,0)),"")</f>
        <v>As-Sulayyil</v>
      </c>
      <c r="I321" s="18" t="str">
        <f>IFERROR(INDEX('المناطق Regions'!$C$2:$C$15,MATCH(B321,'المناطق Regions'!$A$2:$A$15,0)),"")</f>
        <v>Riyadh</v>
      </c>
      <c r="J321" s="18" t="str">
        <f>F321&amp;", "&amp;E321&amp;", Saudi Arabia"</f>
        <v>تمره, السليل, Saudi Arabia</v>
      </c>
      <c r="K321" s="18">
        <v>20.398609</v>
      </c>
      <c r="L321" s="18">
        <v>45.414973</v>
      </c>
      <c r="M321" s="18">
        <v>2000</v>
      </c>
      <c r="N321" s="18" t="s">
        <v>562</v>
      </c>
    </row>
    <row r="322" ht="15" customHeight="1" spans="1:14" x14ac:dyDescent="0.25">
      <c r="A322" s="11" t="s">
        <v>1210</v>
      </c>
      <c r="B322" s="11">
        <v>1</v>
      </c>
      <c r="C322" s="12" t="s">
        <v>44</v>
      </c>
      <c r="D322" s="11" t="s">
        <v>146</v>
      </c>
      <c r="E322" s="12" t="s">
        <v>147</v>
      </c>
      <c r="F322" s="12" t="s">
        <v>1211</v>
      </c>
      <c r="G322" s="11" t="s">
        <v>149</v>
      </c>
      <c r="H322" s="18" t="str">
        <f>IFERROR(INDEX('المحافظات Governorates'!$E$2:$E$151,MATCH(D322,'المحافظات Governorates'!$A$2:$A$151,0)),"")</f>
        <v>As-Sulayyil</v>
      </c>
      <c r="I322" s="18" t="str">
        <f>IFERROR(INDEX('المناطق Regions'!$C$2:$C$15,MATCH(B322,'المناطق Regions'!$A$2:$A$15,0)),"")</f>
        <v>Riyadh</v>
      </c>
      <c r="J322" s="18" t="str">
        <f>F322&amp;", "&amp;E322&amp;", Saudi Arabia"</f>
        <v>ريداء, السليل, Saudi Arabia</v>
      </c>
      <c r="K322" s="18">
        <v>20.5328</v>
      </c>
      <c r="L322" s="18">
        <v>47.601</v>
      </c>
      <c r="M322" s="18">
        <v>2000</v>
      </c>
      <c r="N322" s="18" t="s">
        <v>562</v>
      </c>
    </row>
    <row r="323" ht="15" customHeight="1" spans="1:14" x14ac:dyDescent="0.25">
      <c r="A323" s="13" t="s">
        <v>1212</v>
      </c>
      <c r="B323" s="13">
        <v>1</v>
      </c>
      <c r="C323" s="14" t="s">
        <v>44</v>
      </c>
      <c r="D323" s="13" t="s">
        <v>146</v>
      </c>
      <c r="E323" s="14" t="s">
        <v>147</v>
      </c>
      <c r="F323" s="14" t="s">
        <v>1213</v>
      </c>
      <c r="G323" s="13" t="s">
        <v>149</v>
      </c>
      <c r="H323" s="18" t="str">
        <f>IFERROR(INDEX('المحافظات Governorates'!$E$2:$E$151,MATCH(D323,'المحافظات Governorates'!$A$2:$A$151,0)),"")</f>
        <v>As-Sulayyil</v>
      </c>
      <c r="I323" s="18" t="str">
        <f>IFERROR(INDEX('المناطق Regions'!$C$2:$C$15,MATCH(B323,'المناطق Regions'!$A$2:$A$15,0)),"")</f>
        <v>Riyadh</v>
      </c>
      <c r="J323" s="18" t="str">
        <f>F323&amp;", "&amp;E323&amp;", Saudi Arabia"</f>
        <v>خيران, السليل, Saudi Arabia</v>
      </c>
      <c r="K323" s="18">
        <v>20.409138</v>
      </c>
      <c r="L323" s="18">
        <v>45.431358</v>
      </c>
      <c r="M323" s="18">
        <v>2000</v>
      </c>
      <c r="N323" s="18" t="s">
        <v>562</v>
      </c>
    </row>
    <row r="324" ht="15" customHeight="1" spans="1:14" x14ac:dyDescent="0.25">
      <c r="A324" s="11" t="s">
        <v>1214</v>
      </c>
      <c r="B324" s="11">
        <v>1</v>
      </c>
      <c r="C324" s="12" t="s">
        <v>44</v>
      </c>
      <c r="D324" s="11" t="s">
        <v>146</v>
      </c>
      <c r="E324" s="12" t="s">
        <v>147</v>
      </c>
      <c r="F324" s="12" t="s">
        <v>1215</v>
      </c>
      <c r="G324" s="11" t="s">
        <v>113</v>
      </c>
      <c r="H324" s="18" t="str">
        <f>IFERROR(INDEX('المحافظات Governorates'!$E$2:$E$151,MATCH(D324,'المحافظات Governorates'!$A$2:$A$151,0)),"")</f>
        <v>As-Sulayyil</v>
      </c>
      <c r="I324" s="18" t="str">
        <f>IFERROR(INDEX('المناطق Regions'!$C$2:$C$15,MATCH(B324,'المناطق Regions'!$A$2:$A$15,0)),"")</f>
        <v>Riyadh</v>
      </c>
      <c r="J324" s="18" t="str">
        <f>F324&amp;", "&amp;E324&amp;", Saudi Arabia"</f>
        <v>الشيديه, السليل, Saudi Arabia</v>
      </c>
      <c r="K324" s="18">
        <v>20.589081</v>
      </c>
      <c r="L324" s="18">
        <v>45.738972</v>
      </c>
      <c r="M324" s="18">
        <v>2000</v>
      </c>
      <c r="N324" s="18" t="s">
        <v>562</v>
      </c>
    </row>
    <row r="325" ht="15" customHeight="1" spans="1:14" x14ac:dyDescent="0.25">
      <c r="A325" s="13" t="s">
        <v>1216</v>
      </c>
      <c r="B325" s="13">
        <v>1</v>
      </c>
      <c r="C325" s="14" t="s">
        <v>44</v>
      </c>
      <c r="D325" s="13" t="s">
        <v>151</v>
      </c>
      <c r="E325" s="14" t="s">
        <v>152</v>
      </c>
      <c r="F325" s="14" t="s">
        <v>1217</v>
      </c>
      <c r="G325" s="13" t="s">
        <v>113</v>
      </c>
      <c r="H325" s="18" t="str">
        <f>IFERROR(INDEX('المحافظات Governorates'!$E$2:$E$151,MATCH(D325,'المحافظات Governorates'!$A$2:$A$151,0)),"")</f>
        <v>Dhurma</v>
      </c>
      <c r="I325" s="18" t="str">
        <f>IFERROR(INDEX('المناطق Regions'!$C$2:$C$15,MATCH(B325,'المناطق Regions'!$A$2:$A$15,0)),"")</f>
        <v>Riyadh</v>
      </c>
      <c r="J325" s="18" t="str">
        <f>F325&amp;", "&amp;E325&amp;", Saudi Arabia"</f>
        <v>قصور ال مقبل, ضرما, Saudi Arabia</v>
      </c>
      <c r="K325" s="18">
        <v>24.470651</v>
      </c>
      <c r="L325" s="18">
        <v>46.429177</v>
      </c>
      <c r="M325" s="18">
        <v>2000</v>
      </c>
      <c r="N325" s="18" t="s">
        <v>642</v>
      </c>
    </row>
    <row r="326" ht="15" customHeight="1" spans="1:14" x14ac:dyDescent="0.25">
      <c r="A326" s="11" t="s">
        <v>1218</v>
      </c>
      <c r="B326" s="11">
        <v>1</v>
      </c>
      <c r="C326" s="12" t="s">
        <v>44</v>
      </c>
      <c r="D326" s="11" t="s">
        <v>151</v>
      </c>
      <c r="E326" s="12" t="s">
        <v>152</v>
      </c>
      <c r="F326" s="12" t="s">
        <v>1219</v>
      </c>
      <c r="G326" s="11" t="s">
        <v>113</v>
      </c>
      <c r="H326" s="18" t="str">
        <f>IFERROR(INDEX('المحافظات Governorates'!$E$2:$E$151,MATCH(D326,'المحافظات Governorates'!$A$2:$A$151,0)),"")</f>
        <v>Dhurma</v>
      </c>
      <c r="I326" s="18" t="str">
        <f>IFERROR(INDEX('المناطق Regions'!$C$2:$C$15,MATCH(B326,'المناطق Regions'!$A$2:$A$15,0)),"")</f>
        <v>Riyadh</v>
      </c>
      <c r="J326" s="18" t="str">
        <f>F326&amp;", "&amp;E326&amp;", Saudi Arabia"</f>
        <v>جو, ضرما, Saudi Arabia</v>
      </c>
      <c r="K326" s="18">
        <v>24.493111</v>
      </c>
      <c r="L326" s="18">
        <v>46.161625</v>
      </c>
      <c r="M326" s="18">
        <v>2000</v>
      </c>
      <c r="N326" s="18" t="s">
        <v>642</v>
      </c>
    </row>
    <row r="327" ht="15" customHeight="1" spans="1:14" x14ac:dyDescent="0.25">
      <c r="A327" s="13" t="s">
        <v>1220</v>
      </c>
      <c r="B327" s="13">
        <v>1</v>
      </c>
      <c r="C327" s="14" t="s">
        <v>44</v>
      </c>
      <c r="D327" s="13" t="s">
        <v>151</v>
      </c>
      <c r="E327" s="14" t="s">
        <v>152</v>
      </c>
      <c r="F327" s="14" t="s">
        <v>1221</v>
      </c>
      <c r="G327" s="13" t="s">
        <v>149</v>
      </c>
      <c r="H327" s="18" t="str">
        <f>IFERROR(INDEX('المحافظات Governorates'!$E$2:$E$151,MATCH(D327,'المحافظات Governorates'!$A$2:$A$151,0)),"")</f>
        <v>Dhurma</v>
      </c>
      <c r="I327" s="18" t="str">
        <f>IFERROR(INDEX('المناطق Regions'!$C$2:$C$15,MATCH(B327,'المناطق Regions'!$A$2:$A$15,0)),"")</f>
        <v>Riyadh</v>
      </c>
      <c r="J327" s="18" t="str">
        <f>F327&amp;", "&amp;E327&amp;", Saudi Arabia"</f>
        <v>الغزيز, ضرما, Saudi Arabia</v>
      </c>
      <c r="K327" s="18">
        <v>24.670138</v>
      </c>
      <c r="L327" s="18">
        <v>45.84034</v>
      </c>
      <c r="M327" s="18">
        <v>2000</v>
      </c>
      <c r="N327" s="18" t="s">
        <v>642</v>
      </c>
    </row>
    <row r="328" ht="15" customHeight="1" spans="1:14" x14ac:dyDescent="0.25">
      <c r="A328" s="11" t="s">
        <v>1222</v>
      </c>
      <c r="B328" s="11">
        <v>1</v>
      </c>
      <c r="C328" s="12" t="s">
        <v>44</v>
      </c>
      <c r="D328" s="11" t="s">
        <v>151</v>
      </c>
      <c r="E328" s="12" t="s">
        <v>152</v>
      </c>
      <c r="F328" s="12" t="s">
        <v>1223</v>
      </c>
      <c r="G328" s="11" t="s">
        <v>113</v>
      </c>
      <c r="H328" s="18" t="str">
        <f>IFERROR(INDEX('المحافظات Governorates'!$E$2:$E$151,MATCH(D328,'المحافظات Governorates'!$A$2:$A$151,0)),"")</f>
        <v>Dhurma</v>
      </c>
      <c r="I328" s="18" t="str">
        <f>IFERROR(INDEX('المناطق Regions'!$C$2:$C$15,MATCH(B328,'المناطق Regions'!$A$2:$A$15,0)),"")</f>
        <v>Riyadh</v>
      </c>
      <c r="J328" s="18" t="str">
        <f>F328&amp;", "&amp;E328&amp;", Saudi Arabia"</f>
        <v>السيباني, ضرما, Saudi Arabia</v>
      </c>
      <c r="K328" s="18">
        <v>24.520519</v>
      </c>
      <c r="L328" s="18">
        <v>46.132687</v>
      </c>
      <c r="M328" s="18">
        <v>2000</v>
      </c>
      <c r="N328" s="18" t="s">
        <v>642</v>
      </c>
    </row>
    <row r="329" ht="15" customHeight="1" spans="1:14" x14ac:dyDescent="0.25">
      <c r="A329" s="13" t="s">
        <v>1224</v>
      </c>
      <c r="B329" s="13">
        <v>1</v>
      </c>
      <c r="C329" s="14" t="s">
        <v>44</v>
      </c>
      <c r="D329" s="13" t="s">
        <v>151</v>
      </c>
      <c r="E329" s="14" t="s">
        <v>152</v>
      </c>
      <c r="F329" s="14" t="s">
        <v>1225</v>
      </c>
      <c r="G329" s="13" t="s">
        <v>149</v>
      </c>
      <c r="H329" s="18" t="str">
        <f>IFERROR(INDEX('المحافظات Governorates'!$E$2:$E$151,MATCH(D329,'المحافظات Governorates'!$A$2:$A$151,0)),"")</f>
        <v>Dhurma</v>
      </c>
      <c r="I329" s="18" t="str">
        <f>IFERROR(INDEX('المناطق Regions'!$C$2:$C$15,MATCH(B329,'المناطق Regions'!$A$2:$A$15,0)),"")</f>
        <v>Riyadh</v>
      </c>
      <c r="J329" s="18" t="str">
        <f>F329&amp;", "&amp;E329&amp;", Saudi Arabia"</f>
        <v>الجافوره, ضرما, Saudi Arabia</v>
      </c>
      <c r="K329" s="18">
        <v>24.507601</v>
      </c>
      <c r="L329" s="18">
        <v>45.886265</v>
      </c>
      <c r="M329" s="18">
        <v>2000</v>
      </c>
      <c r="N329" s="18" t="s">
        <v>642</v>
      </c>
    </row>
    <row r="330" ht="15" customHeight="1" spans="1:14" x14ac:dyDescent="0.25">
      <c r="A330" s="11" t="s">
        <v>1226</v>
      </c>
      <c r="B330" s="11">
        <v>1</v>
      </c>
      <c r="C330" s="12" t="s">
        <v>44</v>
      </c>
      <c r="D330" s="11" t="s">
        <v>151</v>
      </c>
      <c r="E330" s="12" t="s">
        <v>152</v>
      </c>
      <c r="F330" s="12" t="s">
        <v>275</v>
      </c>
      <c r="G330" s="11" t="s">
        <v>149</v>
      </c>
      <c r="H330" s="18" t="str">
        <f>IFERROR(INDEX('المحافظات Governorates'!$E$2:$E$151,MATCH(D330,'المحافظات Governorates'!$A$2:$A$151,0)),"")</f>
        <v>Dhurma</v>
      </c>
      <c r="I330" s="18" t="str">
        <f>IFERROR(INDEX('المناطق Regions'!$C$2:$C$15,MATCH(B330,'المناطق Regions'!$A$2:$A$15,0)),"")</f>
        <v>Riyadh</v>
      </c>
      <c r="J330" s="18" t="str">
        <f>F330&amp;", "&amp;E330&amp;", Saudi Arabia"</f>
        <v>البدائع, ضرما, Saudi Arabia</v>
      </c>
      <c r="K330" s="18">
        <v>24.531031</v>
      </c>
      <c r="L330" s="18">
        <v>46.223249</v>
      </c>
      <c r="M330" s="18">
        <v>2000</v>
      </c>
      <c r="N330" s="18" t="s">
        <v>642</v>
      </c>
    </row>
    <row r="331" ht="15" customHeight="1" spans="1:14" x14ac:dyDescent="0.25">
      <c r="A331" s="13" t="s">
        <v>1227</v>
      </c>
      <c r="B331" s="13">
        <v>1</v>
      </c>
      <c r="C331" s="14" t="s">
        <v>44</v>
      </c>
      <c r="D331" s="13" t="s">
        <v>151</v>
      </c>
      <c r="E331" s="14" t="s">
        <v>152</v>
      </c>
      <c r="F331" s="14" t="s">
        <v>1228</v>
      </c>
      <c r="G331" s="13" t="s">
        <v>149</v>
      </c>
      <c r="H331" s="18" t="str">
        <f>IFERROR(INDEX('المحافظات Governorates'!$E$2:$E$151,MATCH(D331,'المحافظات Governorates'!$A$2:$A$151,0)),"")</f>
        <v>Dhurma</v>
      </c>
      <c r="I331" s="18" t="str">
        <f>IFERROR(INDEX('المناطق Regions'!$C$2:$C$15,MATCH(B331,'المناطق Regions'!$A$2:$A$15,0)),"")</f>
        <v>Riyadh</v>
      </c>
      <c r="J331" s="18" t="str">
        <f>F331&amp;", "&amp;E331&amp;", Saudi Arabia"</f>
        <v>العليا, ضرما, Saudi Arabia</v>
      </c>
      <c r="K331" s="18">
        <v>24.712178</v>
      </c>
      <c r="L331" s="18">
        <v>45.938071</v>
      </c>
      <c r="M331" s="18">
        <v>2000</v>
      </c>
      <c r="N331" s="18" t="s">
        <v>642</v>
      </c>
    </row>
    <row r="332" ht="15" customHeight="1" spans="1:14" x14ac:dyDescent="0.25">
      <c r="A332" s="11" t="s">
        <v>1229</v>
      </c>
      <c r="B332" s="11">
        <v>1</v>
      </c>
      <c r="C332" s="12" t="s">
        <v>44</v>
      </c>
      <c r="D332" s="11" t="s">
        <v>154</v>
      </c>
      <c r="E332" s="12" t="s">
        <v>155</v>
      </c>
      <c r="F332" s="12" t="s">
        <v>1230</v>
      </c>
      <c r="G332" s="11" t="s">
        <v>149</v>
      </c>
      <c r="H332" s="18" t="str">
        <f>IFERROR(INDEX('المحافظات Governorates'!$E$2:$E$151,MATCH(D332,'المحافظات Governorates'!$A$2:$A$151,0)),"")</f>
        <v>Al-Muzahimiyah</v>
      </c>
      <c r="I332" s="18" t="str">
        <f>IFERROR(INDEX('المناطق Regions'!$C$2:$C$15,MATCH(B332,'المناطق Regions'!$A$2:$A$15,0)),"")</f>
        <v>Riyadh</v>
      </c>
      <c r="J332" s="18" t="str">
        <f>F332&amp;", "&amp;E332&amp;", Saudi Arabia"</f>
        <v>البخراء, المزاحميه, Saudi Arabia</v>
      </c>
      <c r="K332" s="18">
        <v>24.168611</v>
      </c>
      <c r="L332" s="18">
        <v>46.186944</v>
      </c>
      <c r="M332" s="18">
        <v>2000</v>
      </c>
      <c r="N332" s="18" t="s">
        <v>562</v>
      </c>
    </row>
    <row r="333" ht="15" customHeight="1" spans="1:14" x14ac:dyDescent="0.25">
      <c r="A333" s="13" t="s">
        <v>1231</v>
      </c>
      <c r="B333" s="13">
        <v>1</v>
      </c>
      <c r="C333" s="14" t="s">
        <v>44</v>
      </c>
      <c r="D333" s="13" t="s">
        <v>154</v>
      </c>
      <c r="E333" s="14" t="s">
        <v>155</v>
      </c>
      <c r="F333" s="14" t="s">
        <v>1232</v>
      </c>
      <c r="G333" s="13" t="s">
        <v>149</v>
      </c>
      <c r="H333" s="18" t="str">
        <f>IFERROR(INDEX('المحافظات Governorates'!$E$2:$E$151,MATCH(D333,'المحافظات Governorates'!$A$2:$A$151,0)),"")</f>
        <v>Al-Muzahimiyah</v>
      </c>
      <c r="I333" s="18" t="str">
        <f>IFERROR(INDEX('المناطق Regions'!$C$2:$C$15,MATCH(B333,'المناطق Regions'!$A$2:$A$15,0)),"")</f>
        <v>Riyadh</v>
      </c>
      <c r="J333" s="18" t="str">
        <f>F333&amp;", "&amp;E333&amp;", Saudi Arabia"</f>
        <v>الجفير, المزاحميه, Saudi Arabia</v>
      </c>
      <c r="K333" s="18">
        <v>24.027222</v>
      </c>
      <c r="L333" s="18">
        <v>46.298889</v>
      </c>
      <c r="M333" s="18">
        <v>2000</v>
      </c>
      <c r="N333" s="18" t="s">
        <v>562</v>
      </c>
    </row>
    <row r="334" ht="15" customHeight="1" spans="1:14" x14ac:dyDescent="0.25">
      <c r="A334" s="11" t="s">
        <v>1233</v>
      </c>
      <c r="B334" s="11">
        <v>1</v>
      </c>
      <c r="C334" s="12" t="s">
        <v>44</v>
      </c>
      <c r="D334" s="11" t="s">
        <v>154</v>
      </c>
      <c r="E334" s="12" t="s">
        <v>155</v>
      </c>
      <c r="F334" s="12" t="s">
        <v>1234</v>
      </c>
      <c r="G334" s="11" t="s">
        <v>149</v>
      </c>
      <c r="H334" s="18" t="str">
        <f>IFERROR(INDEX('المحافظات Governorates'!$E$2:$E$151,MATCH(D334,'المحافظات Governorates'!$A$2:$A$151,0)),"")</f>
        <v>Al-Muzahimiyah</v>
      </c>
      <c r="I334" s="18" t="str">
        <f>IFERROR(INDEX('المناطق Regions'!$C$2:$C$15,MATCH(B334,'المناطق Regions'!$A$2:$A$15,0)),"")</f>
        <v>Riyadh</v>
      </c>
      <c r="J334" s="18" t="str">
        <f>F334&amp;", "&amp;E334&amp;", Saudi Arabia"</f>
        <v>حويره نساح, المزاحميه, Saudi Arabia</v>
      </c>
      <c r="K334" s="18">
        <v>24.128041</v>
      </c>
      <c r="L334" s="18">
        <v>46.249408</v>
      </c>
      <c r="M334" s="18">
        <v>67805</v>
      </c>
      <c r="N334" s="18" t="s">
        <v>1235</v>
      </c>
    </row>
    <row r="335" ht="15" customHeight="1" spans="1:14" x14ac:dyDescent="0.25">
      <c r="A335" s="13" t="s">
        <v>1236</v>
      </c>
      <c r="B335" s="13">
        <v>1</v>
      </c>
      <c r="C335" s="14" t="s">
        <v>44</v>
      </c>
      <c r="D335" s="13" t="s">
        <v>154</v>
      </c>
      <c r="E335" s="14" t="s">
        <v>155</v>
      </c>
      <c r="F335" s="14" t="s">
        <v>1237</v>
      </c>
      <c r="G335" s="13" t="s">
        <v>149</v>
      </c>
      <c r="H335" s="18" t="str">
        <f>IFERROR(INDEX('المحافظات Governorates'!$E$2:$E$151,MATCH(D335,'المحافظات Governorates'!$A$2:$A$151,0)),"")</f>
        <v>Al-Muzahimiyah</v>
      </c>
      <c r="I335" s="18" t="str">
        <f>IFERROR(INDEX('المناطق Regions'!$C$2:$C$15,MATCH(B335,'المناطق Regions'!$A$2:$A$15,0)),"")</f>
        <v>Riyadh</v>
      </c>
      <c r="J335" s="18" t="str">
        <f>F335&amp;", "&amp;E335&amp;", Saudi Arabia"</f>
        <v>حفيره نساح, المزاحميه, Saudi Arabia</v>
      </c>
      <c r="K335" s="18">
        <v>24.180278</v>
      </c>
      <c r="L335" s="18">
        <v>46.358333</v>
      </c>
      <c r="M335" s="18">
        <v>2000</v>
      </c>
      <c r="N335" s="18" t="s">
        <v>562</v>
      </c>
    </row>
    <row r="336" ht="15" customHeight="1" spans="1:14" x14ac:dyDescent="0.25">
      <c r="A336" s="11" t="s">
        <v>1238</v>
      </c>
      <c r="B336" s="11">
        <v>1</v>
      </c>
      <c r="C336" s="12" t="s">
        <v>44</v>
      </c>
      <c r="D336" s="11" t="s">
        <v>154</v>
      </c>
      <c r="E336" s="12" t="s">
        <v>155</v>
      </c>
      <c r="F336" s="12" t="s">
        <v>1239</v>
      </c>
      <c r="G336" s="11" t="s">
        <v>149</v>
      </c>
      <c r="H336" s="18" t="str">
        <f>IFERROR(INDEX('المحافظات Governorates'!$E$2:$E$151,MATCH(D336,'المحافظات Governorates'!$A$2:$A$151,0)),"")</f>
        <v>Al-Muzahimiyah</v>
      </c>
      <c r="I336" s="18" t="str">
        <f>IFERROR(INDEX('المناطق Regions'!$C$2:$C$15,MATCH(B336,'المناطق Regions'!$A$2:$A$15,0)),"")</f>
        <v>Riyadh</v>
      </c>
      <c r="J336" s="18" t="str">
        <f>F336&amp;", "&amp;E336&amp;", Saudi Arabia"</f>
        <v>المشاعله, المزاحميه, Saudi Arabia</v>
      </c>
      <c r="K336" s="18">
        <v>24.480493</v>
      </c>
      <c r="L336" s="18">
        <v>46.056688</v>
      </c>
      <c r="M336" s="18">
        <v>2000</v>
      </c>
      <c r="N336" s="18" t="s">
        <v>562</v>
      </c>
    </row>
    <row r="337" ht="15" customHeight="1" spans="1:14" x14ac:dyDescent="0.25">
      <c r="A337" s="13" t="s">
        <v>1240</v>
      </c>
      <c r="B337" s="13">
        <v>1</v>
      </c>
      <c r="C337" s="14" t="s">
        <v>44</v>
      </c>
      <c r="D337" s="13" t="s">
        <v>154</v>
      </c>
      <c r="E337" s="14" t="s">
        <v>155</v>
      </c>
      <c r="F337" s="14" t="s">
        <v>1241</v>
      </c>
      <c r="G337" s="13" t="s">
        <v>149</v>
      </c>
      <c r="H337" s="18" t="str">
        <f>IFERROR(INDEX('المحافظات Governorates'!$E$2:$E$151,MATCH(D337,'المحافظات Governorates'!$A$2:$A$151,0)),"")</f>
        <v>Al-Muzahimiyah</v>
      </c>
      <c r="I337" s="18" t="str">
        <f>IFERROR(INDEX('المناطق Regions'!$C$2:$C$15,MATCH(B337,'المناطق Regions'!$A$2:$A$15,0)),"")</f>
        <v>Riyadh</v>
      </c>
      <c r="J337" s="18" t="str">
        <f>F337&amp;", "&amp;E337&amp;", Saudi Arabia"</f>
        <v>الزبائر, المزاحميه, Saudi Arabia</v>
      </c>
      <c r="K337" s="18">
        <v>24.431688</v>
      </c>
      <c r="L337" s="18">
        <v>46.197001</v>
      </c>
      <c r="M337" s="18">
        <v>2000</v>
      </c>
      <c r="N337" s="18" t="s">
        <v>562</v>
      </c>
    </row>
    <row r="338" ht="15" customHeight="1" spans="1:14" x14ac:dyDescent="0.25">
      <c r="A338" s="11" t="s">
        <v>1242</v>
      </c>
      <c r="B338" s="11">
        <v>1</v>
      </c>
      <c r="C338" s="12" t="s">
        <v>44</v>
      </c>
      <c r="D338" s="11" t="s">
        <v>154</v>
      </c>
      <c r="E338" s="12" t="s">
        <v>155</v>
      </c>
      <c r="F338" s="12" t="s">
        <v>1243</v>
      </c>
      <c r="G338" s="11" t="s">
        <v>149</v>
      </c>
      <c r="H338" s="18" t="str">
        <f>IFERROR(INDEX('المحافظات Governorates'!$E$2:$E$151,MATCH(D338,'المحافظات Governorates'!$A$2:$A$151,0)),"")</f>
        <v>Al-Muzahimiyah</v>
      </c>
      <c r="I338" s="18" t="str">
        <f>IFERROR(INDEX('المناطق Regions'!$C$2:$C$15,MATCH(B338,'المناطق Regions'!$A$2:$A$15,0)),"")</f>
        <v>Riyadh</v>
      </c>
      <c r="J338" s="18" t="str">
        <f>F338&amp;", "&amp;E338&amp;", Saudi Arabia"</f>
        <v>اللغف, المزاحميه, Saudi Arabia</v>
      </c>
      <c r="K338" s="18">
        <v>24.470851</v>
      </c>
      <c r="L338" s="18">
        <v>45.849544</v>
      </c>
      <c r="M338" s="18">
        <v>2000</v>
      </c>
      <c r="N338" s="18" t="s">
        <v>562</v>
      </c>
    </row>
    <row r="339" ht="15" customHeight="1" spans="1:14" x14ac:dyDescent="0.25">
      <c r="A339" s="13" t="s">
        <v>1244</v>
      </c>
      <c r="B339" s="13">
        <v>1</v>
      </c>
      <c r="C339" s="14" t="s">
        <v>44</v>
      </c>
      <c r="D339" s="13" t="s">
        <v>154</v>
      </c>
      <c r="E339" s="14" t="s">
        <v>155</v>
      </c>
      <c r="F339" s="14" t="s">
        <v>1245</v>
      </c>
      <c r="G339" s="13" t="s">
        <v>149</v>
      </c>
      <c r="H339" s="18" t="str">
        <f>IFERROR(INDEX('المحافظات Governorates'!$E$2:$E$151,MATCH(D339,'المحافظات Governorates'!$A$2:$A$151,0)),"")</f>
        <v>Al-Muzahimiyah</v>
      </c>
      <c r="I339" s="18" t="str">
        <f>IFERROR(INDEX('المناطق Regions'!$C$2:$C$15,MATCH(B339,'المناطق Regions'!$A$2:$A$15,0)),"")</f>
        <v>Riyadh</v>
      </c>
      <c r="J339" s="18" t="str">
        <f>F339&amp;", "&amp;E339&amp;", Saudi Arabia"</f>
        <v>الصدر الأعلى, المزاحميه, Saudi Arabia</v>
      </c>
      <c r="K339" s="18">
        <v>24.128041</v>
      </c>
      <c r="L339" s="18">
        <v>46.249408</v>
      </c>
      <c r="M339" s="18">
        <v>67805</v>
      </c>
      <c r="N339" s="18" t="s">
        <v>1235</v>
      </c>
    </row>
    <row r="340" ht="15" customHeight="1" spans="1:14" x14ac:dyDescent="0.25">
      <c r="A340" s="11" t="s">
        <v>1246</v>
      </c>
      <c r="B340" s="11">
        <v>1</v>
      </c>
      <c r="C340" s="12" t="s">
        <v>44</v>
      </c>
      <c r="D340" s="11" t="s">
        <v>157</v>
      </c>
      <c r="E340" s="12" t="s">
        <v>158</v>
      </c>
      <c r="F340" s="12" t="s">
        <v>1247</v>
      </c>
      <c r="G340" s="11" t="s">
        <v>113</v>
      </c>
      <c r="H340" s="18" t="str">
        <f>IFERROR(INDEX('المحافظات Governorates'!$E$2:$E$151,MATCH(D340,'المحافظات Governorates'!$A$2:$A$151,0)),"")</f>
        <v>Rumah</v>
      </c>
      <c r="I340" s="18" t="str">
        <f>IFERROR(INDEX('المناطق Regions'!$C$2:$C$15,MATCH(B340,'المناطق Regions'!$A$2:$A$15,0)),"")</f>
        <v>Riyadh</v>
      </c>
      <c r="J340" s="18" t="str">
        <f>F340&amp;", "&amp;E340&amp;", Saudi Arabia"</f>
        <v>شويه, رماح, Saudi Arabia</v>
      </c>
      <c r="K340" s="18">
        <v>26.367623</v>
      </c>
      <c r="L340" s="18">
        <v>47.244227</v>
      </c>
      <c r="M340" s="18">
        <v>2000</v>
      </c>
      <c r="N340" s="18" t="s">
        <v>562</v>
      </c>
    </row>
    <row r="341" ht="15" customHeight="1" spans="1:14" x14ac:dyDescent="0.25">
      <c r="A341" s="13" t="s">
        <v>1248</v>
      </c>
      <c r="B341" s="13">
        <v>1</v>
      </c>
      <c r="C341" s="14" t="s">
        <v>44</v>
      </c>
      <c r="D341" s="13" t="s">
        <v>157</v>
      </c>
      <c r="E341" s="14" t="s">
        <v>158</v>
      </c>
      <c r="F341" s="14" t="s">
        <v>1249</v>
      </c>
      <c r="G341" s="13" t="s">
        <v>113</v>
      </c>
      <c r="H341" s="18" t="str">
        <f>IFERROR(INDEX('المحافظات Governorates'!$E$2:$E$151,MATCH(D341,'المحافظات Governorates'!$A$2:$A$151,0)),"")</f>
        <v>Rumah</v>
      </c>
      <c r="I341" s="18" t="str">
        <f>IFERROR(INDEX('المناطق Regions'!$C$2:$C$15,MATCH(B341,'المناطق Regions'!$A$2:$A$15,0)),"")</f>
        <v>Riyadh</v>
      </c>
      <c r="J341" s="18" t="str">
        <f>F341&amp;", "&amp;E341&amp;", Saudi Arabia"</f>
        <v>الرمحيه, رماح, Saudi Arabia</v>
      </c>
      <c r="K341" s="18">
        <v>25.572384</v>
      </c>
      <c r="L341" s="18">
        <v>46.975608</v>
      </c>
      <c r="M341" s="18">
        <v>2000</v>
      </c>
      <c r="N341" s="18" t="s">
        <v>562</v>
      </c>
    </row>
    <row r="342" ht="15" customHeight="1" spans="1:14" x14ac:dyDescent="0.25">
      <c r="A342" s="11" t="s">
        <v>1250</v>
      </c>
      <c r="B342" s="11">
        <v>1</v>
      </c>
      <c r="C342" s="12" t="s">
        <v>44</v>
      </c>
      <c r="D342" s="11" t="s">
        <v>157</v>
      </c>
      <c r="E342" s="12" t="s">
        <v>158</v>
      </c>
      <c r="F342" s="12" t="s">
        <v>1251</v>
      </c>
      <c r="G342" s="11" t="s">
        <v>113</v>
      </c>
      <c r="H342" s="18" t="str">
        <f>IFERROR(INDEX('المحافظات Governorates'!$E$2:$E$151,MATCH(D342,'المحافظات Governorates'!$A$2:$A$151,0)),"")</f>
        <v>Rumah</v>
      </c>
      <c r="I342" s="18" t="str">
        <f>IFERROR(INDEX('المناطق Regions'!$C$2:$C$15,MATCH(B342,'المناطق Regions'!$A$2:$A$15,0)),"")</f>
        <v>Riyadh</v>
      </c>
      <c r="J342" s="18" t="str">
        <f>F342&amp;", "&amp;E342&amp;", Saudi Arabia"</f>
        <v>العيطليه, رماح, Saudi Arabia</v>
      </c>
      <c r="K342" s="18">
        <v>26.565771</v>
      </c>
      <c r="L342" s="18">
        <v>47.071177</v>
      </c>
      <c r="M342" s="18">
        <v>2000</v>
      </c>
      <c r="N342" s="18" t="s">
        <v>562</v>
      </c>
    </row>
    <row r="343" ht="15" customHeight="1" spans="1:14" x14ac:dyDescent="0.25">
      <c r="A343" s="13" t="s">
        <v>1252</v>
      </c>
      <c r="B343" s="13">
        <v>1</v>
      </c>
      <c r="C343" s="14" t="s">
        <v>44</v>
      </c>
      <c r="D343" s="13" t="s">
        <v>157</v>
      </c>
      <c r="E343" s="14" t="s">
        <v>158</v>
      </c>
      <c r="F343" s="14" t="s">
        <v>1253</v>
      </c>
      <c r="G343" s="13" t="s">
        <v>113</v>
      </c>
      <c r="H343" s="18" t="str">
        <f>IFERROR(INDEX('المحافظات Governorates'!$E$2:$E$151,MATCH(D343,'المحافظات Governorates'!$A$2:$A$151,0)),"")</f>
        <v>Rumah</v>
      </c>
      <c r="I343" s="18" t="str">
        <f>IFERROR(INDEX('المناطق Regions'!$C$2:$C$15,MATCH(B343,'المناطق Regions'!$A$2:$A$15,0)),"")</f>
        <v>Riyadh</v>
      </c>
      <c r="J343" s="18" t="str">
        <f>F343&amp;", "&amp;E343&amp;", Saudi Arabia"</f>
        <v>حفر العتش, رماح, Saudi Arabia</v>
      </c>
      <c r="K343" s="18">
        <v>25.955349</v>
      </c>
      <c r="L343" s="18">
        <v>46.497746</v>
      </c>
      <c r="M343" s="18">
        <v>2000</v>
      </c>
      <c r="N343" s="18" t="s">
        <v>562</v>
      </c>
    </row>
    <row r="344" ht="15" customHeight="1" spans="1:14" x14ac:dyDescent="0.25">
      <c r="A344" s="11" t="s">
        <v>1254</v>
      </c>
      <c r="B344" s="11">
        <v>1</v>
      </c>
      <c r="C344" s="12" t="s">
        <v>44</v>
      </c>
      <c r="D344" s="11" t="s">
        <v>157</v>
      </c>
      <c r="E344" s="12" t="s">
        <v>158</v>
      </c>
      <c r="F344" s="12" t="s">
        <v>1255</v>
      </c>
      <c r="G344" s="11" t="s">
        <v>113</v>
      </c>
      <c r="H344" s="18" t="str">
        <f>IFERROR(INDEX('المحافظات Governorates'!$E$2:$E$151,MATCH(D344,'المحافظات Governorates'!$A$2:$A$151,0)),"")</f>
        <v>Rumah</v>
      </c>
      <c r="I344" s="18" t="str">
        <f>IFERROR(INDEX('المناطق Regions'!$C$2:$C$15,MATCH(B344,'المناطق Regions'!$A$2:$A$15,0)),"")</f>
        <v>Riyadh</v>
      </c>
      <c r="J344" s="18" t="str">
        <f>F344&amp;", "&amp;E344&amp;", Saudi Arabia"</f>
        <v>العمانيه, رماح, Saudi Arabia</v>
      </c>
      <c r="K344" s="18">
        <v>26.379167</v>
      </c>
      <c r="L344" s="18">
        <v>47.323056</v>
      </c>
      <c r="M344" s="18">
        <v>2000</v>
      </c>
      <c r="N344" s="18" t="s">
        <v>562</v>
      </c>
    </row>
    <row r="345" ht="15" customHeight="1" spans="1:14" x14ac:dyDescent="0.25">
      <c r="A345" s="13" t="s">
        <v>1256</v>
      </c>
      <c r="B345" s="13">
        <v>1</v>
      </c>
      <c r="C345" s="14" t="s">
        <v>44</v>
      </c>
      <c r="D345" s="13" t="s">
        <v>157</v>
      </c>
      <c r="E345" s="14" t="s">
        <v>158</v>
      </c>
      <c r="F345" s="14" t="s">
        <v>1257</v>
      </c>
      <c r="G345" s="13" t="s">
        <v>113</v>
      </c>
      <c r="H345" s="18" t="str">
        <f>IFERROR(INDEX('المحافظات Governorates'!$E$2:$E$151,MATCH(D345,'المحافظات Governorates'!$A$2:$A$151,0)),"")</f>
        <v>Rumah</v>
      </c>
      <c r="I345" s="18" t="str">
        <f>IFERROR(INDEX('المناطق Regions'!$C$2:$C$15,MATCH(B345,'المناطق Regions'!$A$2:$A$15,0)),"")</f>
        <v>Riyadh</v>
      </c>
      <c r="J345" s="18" t="str">
        <f>F345&amp;", "&amp;E345&amp;", Saudi Arabia"</f>
        <v>المزيرع, رماح, Saudi Arabia</v>
      </c>
      <c r="K345" s="18">
        <v>25.554462</v>
      </c>
      <c r="L345" s="18">
        <v>47.234791</v>
      </c>
      <c r="M345" s="18">
        <v>2000</v>
      </c>
      <c r="N345" s="18" t="s">
        <v>562</v>
      </c>
    </row>
    <row r="346" ht="15" customHeight="1" spans="1:14" x14ac:dyDescent="0.25">
      <c r="A346" s="11" t="s">
        <v>1258</v>
      </c>
      <c r="B346" s="11">
        <v>1</v>
      </c>
      <c r="C346" s="12" t="s">
        <v>44</v>
      </c>
      <c r="D346" s="11" t="s">
        <v>157</v>
      </c>
      <c r="E346" s="12" t="s">
        <v>158</v>
      </c>
      <c r="F346" s="12" t="s">
        <v>1259</v>
      </c>
      <c r="G346" s="11" t="s">
        <v>113</v>
      </c>
      <c r="H346" s="18" t="str">
        <f>IFERROR(INDEX('المحافظات Governorates'!$E$2:$E$151,MATCH(D346,'المحافظات Governorates'!$A$2:$A$151,0)),"")</f>
        <v>Rumah</v>
      </c>
      <c r="I346" s="18" t="str">
        <f>IFERROR(INDEX('المناطق Regions'!$C$2:$C$15,MATCH(B346,'المناطق Regions'!$A$2:$A$15,0)),"")</f>
        <v>Riyadh</v>
      </c>
      <c r="J346" s="18" t="str">
        <f>F346&amp;", "&amp;E346&amp;", Saudi Arabia"</f>
        <v>الغيلانه, رماح, Saudi Arabia</v>
      </c>
      <c r="K346" s="18">
        <v>25.410256</v>
      </c>
      <c r="L346" s="18">
        <v>47.212155</v>
      </c>
      <c r="M346" s="18">
        <v>2000</v>
      </c>
      <c r="N346" s="18" t="s">
        <v>562</v>
      </c>
    </row>
    <row r="347" ht="15" customHeight="1" spans="1:14" x14ac:dyDescent="0.25">
      <c r="A347" s="13" t="s">
        <v>1260</v>
      </c>
      <c r="B347" s="13">
        <v>1</v>
      </c>
      <c r="C347" s="14" t="s">
        <v>44</v>
      </c>
      <c r="D347" s="13" t="s">
        <v>157</v>
      </c>
      <c r="E347" s="14" t="s">
        <v>158</v>
      </c>
      <c r="F347" s="14" t="s">
        <v>1261</v>
      </c>
      <c r="G347" s="13" t="s">
        <v>113</v>
      </c>
      <c r="H347" s="18" t="str">
        <f>IFERROR(INDEX('المحافظات Governorates'!$E$2:$E$151,MATCH(D347,'المحافظات Governorates'!$A$2:$A$151,0)),"")</f>
        <v>Rumah</v>
      </c>
      <c r="I347" s="18" t="str">
        <f>IFERROR(INDEX('المناطق Regions'!$C$2:$C$15,MATCH(B347,'المناطق Regions'!$A$2:$A$15,0)),"")</f>
        <v>Riyadh</v>
      </c>
      <c r="J347" s="18" t="str">
        <f>F347&amp;", "&amp;E347&amp;", Saudi Arabia"</f>
        <v>سعد, رماح, Saudi Arabia</v>
      </c>
      <c r="K347" s="18">
        <v>25.100627</v>
      </c>
      <c r="L347" s="18">
        <v>47.569413</v>
      </c>
      <c r="M347" s="18">
        <v>2000</v>
      </c>
      <c r="N347" s="18" t="s">
        <v>562</v>
      </c>
    </row>
    <row r="348" ht="15" customHeight="1" spans="1:14" x14ac:dyDescent="0.25">
      <c r="A348" s="11" t="s">
        <v>1262</v>
      </c>
      <c r="B348" s="11">
        <v>1</v>
      </c>
      <c r="C348" s="12" t="s">
        <v>44</v>
      </c>
      <c r="D348" s="11" t="s">
        <v>157</v>
      </c>
      <c r="E348" s="12" t="s">
        <v>158</v>
      </c>
      <c r="F348" s="12" t="s">
        <v>1263</v>
      </c>
      <c r="G348" s="11" t="s">
        <v>149</v>
      </c>
      <c r="H348" s="18" t="str">
        <f>IFERROR(INDEX('المحافظات Governorates'!$E$2:$E$151,MATCH(D348,'المحافظات Governorates'!$A$2:$A$151,0)),"")</f>
        <v>Rumah</v>
      </c>
      <c r="I348" s="18" t="str">
        <f>IFERROR(INDEX('المناطق Regions'!$C$2:$C$15,MATCH(B348,'المناطق Regions'!$A$2:$A$15,0)),"")</f>
        <v>Riyadh</v>
      </c>
      <c r="J348" s="18" t="str">
        <f>F348&amp;", "&amp;E348&amp;", Saudi Arabia"</f>
        <v>الفيحانية, رماح, Saudi Arabia</v>
      </c>
      <c r="K348" s="18">
        <v>25.573272</v>
      </c>
      <c r="L348" s="18">
        <v>47.125214</v>
      </c>
      <c r="M348" s="18">
        <v>2000</v>
      </c>
      <c r="N348" s="18" t="s">
        <v>562</v>
      </c>
    </row>
    <row r="349" ht="15" customHeight="1" spans="1:14" x14ac:dyDescent="0.25">
      <c r="A349" s="13" t="s">
        <v>1264</v>
      </c>
      <c r="B349" s="13">
        <v>1</v>
      </c>
      <c r="C349" s="14" t="s">
        <v>44</v>
      </c>
      <c r="D349" s="13" t="s">
        <v>157</v>
      </c>
      <c r="E349" s="14" t="s">
        <v>158</v>
      </c>
      <c r="F349" s="14" t="s">
        <v>1265</v>
      </c>
      <c r="G349" s="13" t="s">
        <v>149</v>
      </c>
      <c r="H349" s="18" t="str">
        <f>IFERROR(INDEX('المحافظات Governorates'!$E$2:$E$151,MATCH(D349,'المحافظات Governorates'!$A$2:$A$151,0)),"")</f>
        <v>Rumah</v>
      </c>
      <c r="I349" s="18" t="str">
        <f>IFERROR(INDEX('المناطق Regions'!$C$2:$C$15,MATCH(B349,'المناطق Regions'!$A$2:$A$15,0)),"")</f>
        <v>Riyadh</v>
      </c>
      <c r="J349" s="18" t="str">
        <f>F349&amp;", "&amp;E349&amp;", Saudi Arabia"</f>
        <v>الطيري, رماح, Saudi Arabia</v>
      </c>
      <c r="K349" s="18">
        <v>25.843182</v>
      </c>
      <c r="L349" s="18">
        <v>46.585758</v>
      </c>
      <c r="M349" s="18">
        <v>2000</v>
      </c>
      <c r="N349" s="18" t="s">
        <v>562</v>
      </c>
    </row>
    <row r="350" ht="15" customHeight="1" spans="1:14" x14ac:dyDescent="0.25">
      <c r="A350" s="11" t="s">
        <v>1266</v>
      </c>
      <c r="B350" s="11">
        <v>1</v>
      </c>
      <c r="C350" s="12" t="s">
        <v>44</v>
      </c>
      <c r="D350" s="11" t="s">
        <v>160</v>
      </c>
      <c r="E350" s="12" t="s">
        <v>161</v>
      </c>
      <c r="F350" s="12" t="s">
        <v>1267</v>
      </c>
      <c r="G350" s="11" t="s">
        <v>113</v>
      </c>
      <c r="H350" s="18" t="str">
        <f>IFERROR(INDEX('المحافظات Governorates'!$E$2:$E$151,MATCH(D350,'المحافظات Governorates'!$A$2:$A$151,0)),"")</f>
        <v>Thadiq</v>
      </c>
      <c r="I350" s="18" t="str">
        <f>IFERROR(INDEX('المناطق Regions'!$C$2:$C$15,MATCH(B350,'المناطق Regions'!$A$2:$A$15,0)),"")</f>
        <v>Riyadh</v>
      </c>
      <c r="J350" s="18" t="str">
        <f>F350&amp;", "&amp;E350&amp;", Saudi Arabia"</f>
        <v>رغبه, ثادق, Saudi Arabia</v>
      </c>
      <c r="K350" s="18">
        <v>25.160833</v>
      </c>
      <c r="L350" s="18">
        <v>45.796944</v>
      </c>
      <c r="M350" s="18">
        <v>2000</v>
      </c>
      <c r="N350" s="18" t="s">
        <v>562</v>
      </c>
    </row>
    <row r="351" ht="15" customHeight="1" spans="1:14" x14ac:dyDescent="0.25">
      <c r="A351" s="13" t="s">
        <v>1268</v>
      </c>
      <c r="B351" s="13">
        <v>1</v>
      </c>
      <c r="C351" s="14" t="s">
        <v>44</v>
      </c>
      <c r="D351" s="13" t="s">
        <v>160</v>
      </c>
      <c r="E351" s="14" t="s">
        <v>161</v>
      </c>
      <c r="F351" s="14" t="s">
        <v>1269</v>
      </c>
      <c r="G351" s="13" t="s">
        <v>149</v>
      </c>
      <c r="H351" s="18" t="str">
        <f>IFERROR(INDEX('المحافظات Governorates'!$E$2:$E$151,MATCH(D351,'المحافظات Governorates'!$A$2:$A$151,0)),"")</f>
        <v>Thadiq</v>
      </c>
      <c r="I351" s="18" t="str">
        <f>IFERROR(INDEX('المناطق Regions'!$C$2:$C$15,MATCH(B351,'المناطق Regions'!$A$2:$A$15,0)),"")</f>
        <v>Riyadh</v>
      </c>
      <c r="J351" s="18" t="str">
        <f>F351&amp;", "&amp;E351&amp;", Saudi Arabia"</f>
        <v>البير, ثادق, Saudi Arabia</v>
      </c>
      <c r="K351" s="18">
        <v>25.286111</v>
      </c>
      <c r="L351" s="18">
        <v>45.954167</v>
      </c>
      <c r="M351" s="18">
        <v>2000</v>
      </c>
      <c r="N351" s="18" t="s">
        <v>562</v>
      </c>
    </row>
    <row r="352" ht="15" customHeight="1" spans="1:14" x14ac:dyDescent="0.25">
      <c r="A352" s="11" t="s">
        <v>1270</v>
      </c>
      <c r="B352" s="11">
        <v>1</v>
      </c>
      <c r="C352" s="12" t="s">
        <v>44</v>
      </c>
      <c r="D352" s="11" t="s">
        <v>160</v>
      </c>
      <c r="E352" s="12" t="s">
        <v>161</v>
      </c>
      <c r="F352" s="12" t="s">
        <v>1271</v>
      </c>
      <c r="G352" s="11" t="s">
        <v>149</v>
      </c>
      <c r="H352" s="18" t="str">
        <f>IFERROR(INDEX('المحافظات Governorates'!$E$2:$E$151,MATCH(D352,'المحافظات Governorates'!$A$2:$A$151,0)),"")</f>
        <v>Thadiq</v>
      </c>
      <c r="I352" s="18" t="str">
        <f>IFERROR(INDEX('المناطق Regions'!$C$2:$C$15,MATCH(B352,'المناطق Regions'!$A$2:$A$15,0)),"")</f>
        <v>Riyadh</v>
      </c>
      <c r="J352" s="18" t="str">
        <f>F352&amp;", "&amp;E352&amp;", Saudi Arabia"</f>
        <v>الحسي, ثادق, Saudi Arabia</v>
      </c>
      <c r="K352" s="18">
        <v>25.416104</v>
      </c>
      <c r="L352" s="18">
        <v>46.100456</v>
      </c>
      <c r="M352" s="18">
        <v>2000</v>
      </c>
      <c r="N352" s="18" t="s">
        <v>562</v>
      </c>
    </row>
    <row r="353" ht="15" customHeight="1" spans="1:14" x14ac:dyDescent="0.25">
      <c r="A353" s="13" t="s">
        <v>1272</v>
      </c>
      <c r="B353" s="13">
        <v>1</v>
      </c>
      <c r="C353" s="14" t="s">
        <v>44</v>
      </c>
      <c r="D353" s="13" t="s">
        <v>160</v>
      </c>
      <c r="E353" s="14" t="s">
        <v>161</v>
      </c>
      <c r="F353" s="14" t="s">
        <v>1273</v>
      </c>
      <c r="G353" s="13" t="s">
        <v>113</v>
      </c>
      <c r="H353" s="18" t="str">
        <f>IFERROR(INDEX('المحافظات Governorates'!$E$2:$E$151,MATCH(D353,'المحافظات Governorates'!$A$2:$A$151,0)),"")</f>
        <v>Thadiq</v>
      </c>
      <c r="I353" s="18" t="str">
        <f>IFERROR(INDEX('المناطق Regions'!$C$2:$C$15,MATCH(B353,'المناطق Regions'!$A$2:$A$15,0)),"")</f>
        <v>Riyadh</v>
      </c>
      <c r="J353" s="18" t="str">
        <f>F353&amp;", "&amp;E353&amp;", Saudi Arabia"</f>
        <v>الصفرات, ثادق, Saudi Arabia</v>
      </c>
      <c r="K353" s="18">
        <v>25.417792</v>
      </c>
      <c r="L353" s="18">
        <v>46.051567</v>
      </c>
      <c r="M353" s="18">
        <v>2000</v>
      </c>
      <c r="N353" s="18" t="s">
        <v>562</v>
      </c>
    </row>
    <row r="354" ht="15" customHeight="1" spans="1:14" x14ac:dyDescent="0.25">
      <c r="A354" s="11" t="s">
        <v>1274</v>
      </c>
      <c r="B354" s="11">
        <v>1</v>
      </c>
      <c r="C354" s="12" t="s">
        <v>44</v>
      </c>
      <c r="D354" s="11" t="s">
        <v>160</v>
      </c>
      <c r="E354" s="12" t="s">
        <v>161</v>
      </c>
      <c r="F354" s="12" t="s">
        <v>1275</v>
      </c>
      <c r="G354" s="11" t="s">
        <v>149</v>
      </c>
      <c r="H354" s="18" t="str">
        <f>IFERROR(INDEX('المحافظات Governorates'!$E$2:$E$151,MATCH(D354,'المحافظات Governorates'!$A$2:$A$151,0)),"")</f>
        <v>Thadiq</v>
      </c>
      <c r="I354" s="18" t="str">
        <f>IFERROR(INDEX('المناطق Regions'!$C$2:$C$15,MATCH(B354,'المناطق Regions'!$A$2:$A$15,0)),"")</f>
        <v>Riyadh</v>
      </c>
      <c r="J354" s="18" t="str">
        <f>F354&amp;", "&amp;E354&amp;", Saudi Arabia"</f>
        <v>رويضه السهول, ثادق, Saudi Arabia</v>
      </c>
      <c r="K354" s="18">
        <v>25.199919</v>
      </c>
      <c r="L354" s="18">
        <v>45.857203</v>
      </c>
      <c r="M354" s="18">
        <v>2000</v>
      </c>
      <c r="N354" s="18" t="s">
        <v>562</v>
      </c>
    </row>
    <row r="355" ht="15" customHeight="1" spans="1:14" x14ac:dyDescent="0.25">
      <c r="A355" s="13" t="s">
        <v>1276</v>
      </c>
      <c r="B355" s="13">
        <v>1</v>
      </c>
      <c r="C355" s="14" t="s">
        <v>44</v>
      </c>
      <c r="D355" s="13" t="s">
        <v>160</v>
      </c>
      <c r="E355" s="14" t="s">
        <v>161</v>
      </c>
      <c r="F355" s="14" t="s">
        <v>1277</v>
      </c>
      <c r="G355" s="13" t="s">
        <v>149</v>
      </c>
      <c r="H355" s="18" t="str">
        <f>IFERROR(INDEX('المحافظات Governorates'!$E$2:$E$151,MATCH(D355,'المحافظات Governorates'!$A$2:$A$151,0)),"")</f>
        <v>Thadiq</v>
      </c>
      <c r="I355" s="18" t="str">
        <f>IFERROR(INDEX('المناطق Regions'!$C$2:$C$15,MATCH(B355,'المناطق Regions'!$A$2:$A$15,0)),"")</f>
        <v>Riyadh</v>
      </c>
      <c r="J355" s="18" t="str">
        <f>F355&amp;", "&amp;E355&amp;", Saudi Arabia"</f>
        <v>مشاش السهول, ثادق, Saudi Arabia</v>
      </c>
      <c r="K355" s="18">
        <v>25.291308</v>
      </c>
      <c r="L355" s="18">
        <v>45.785568</v>
      </c>
      <c r="M355" s="18">
        <v>2000</v>
      </c>
      <c r="N355" s="18" t="s">
        <v>562</v>
      </c>
    </row>
    <row r="356" ht="15" customHeight="1" spans="1:14" x14ac:dyDescent="0.25">
      <c r="A356" s="11" t="s">
        <v>1278</v>
      </c>
      <c r="B356" s="11">
        <v>1</v>
      </c>
      <c r="C356" s="12" t="s">
        <v>44</v>
      </c>
      <c r="D356" s="11" t="s">
        <v>160</v>
      </c>
      <c r="E356" s="12" t="s">
        <v>161</v>
      </c>
      <c r="F356" s="12" t="s">
        <v>1279</v>
      </c>
      <c r="G356" s="11" t="s">
        <v>113</v>
      </c>
      <c r="H356" s="18" t="str">
        <f>IFERROR(INDEX('المحافظات Governorates'!$E$2:$E$151,MATCH(D356,'المحافظات Governorates'!$A$2:$A$151,0)),"")</f>
        <v>Thadiq</v>
      </c>
      <c r="I356" s="18" t="str">
        <f>IFERROR(INDEX('المناطق Regions'!$C$2:$C$15,MATCH(B356,'المناطق Regions'!$A$2:$A$15,0)),"")</f>
        <v>Riyadh</v>
      </c>
      <c r="J356" s="18" t="str">
        <f>F356&amp;", "&amp;E356&amp;", Saudi Arabia"</f>
        <v>رويغب, ثادق, Saudi Arabia</v>
      </c>
      <c r="K356" s="18">
        <v>25.509143</v>
      </c>
      <c r="L356" s="18">
        <v>46.040059</v>
      </c>
      <c r="M356" s="18">
        <v>76280</v>
      </c>
      <c r="N356" s="18" t="s">
        <v>1280</v>
      </c>
    </row>
    <row r="357" ht="15" customHeight="1" spans="1:14" x14ac:dyDescent="0.25">
      <c r="A357" s="13" t="s">
        <v>1281</v>
      </c>
      <c r="B357" s="13">
        <v>1</v>
      </c>
      <c r="C357" s="14" t="s">
        <v>44</v>
      </c>
      <c r="D357" s="13" t="s">
        <v>160</v>
      </c>
      <c r="E357" s="14" t="s">
        <v>161</v>
      </c>
      <c r="F357" s="14" t="s">
        <v>1282</v>
      </c>
      <c r="G357" s="13" t="s">
        <v>149</v>
      </c>
      <c r="H357" s="18" t="str">
        <f>IFERROR(INDEX('المحافظات Governorates'!$E$2:$E$151,MATCH(D357,'المحافظات Governorates'!$A$2:$A$151,0)),"")</f>
        <v>Thadiq</v>
      </c>
      <c r="I357" s="18" t="str">
        <f>IFERROR(INDEX('المناطق Regions'!$C$2:$C$15,MATCH(B357,'المناطق Regions'!$A$2:$A$15,0)),"")</f>
        <v>Riyadh</v>
      </c>
      <c r="J357" s="18" t="str">
        <f>F357&amp;", "&amp;E357&amp;", Saudi Arabia"</f>
        <v>الخاتله, ثادق, Saudi Arabia</v>
      </c>
      <c r="K357" s="18">
        <v>25.491467</v>
      </c>
      <c r="L357" s="18">
        <v>46.1887</v>
      </c>
      <c r="M357" s="18">
        <v>2000</v>
      </c>
      <c r="N357" s="18" t="s">
        <v>562</v>
      </c>
    </row>
    <row r="358" ht="15" customHeight="1" spans="1:14" x14ac:dyDescent="0.25">
      <c r="A358" s="11" t="s">
        <v>1283</v>
      </c>
      <c r="B358" s="11">
        <v>1</v>
      </c>
      <c r="C358" s="12" t="s">
        <v>44</v>
      </c>
      <c r="D358" s="11" t="s">
        <v>160</v>
      </c>
      <c r="E358" s="12" t="s">
        <v>161</v>
      </c>
      <c r="F358" s="12" t="s">
        <v>1284</v>
      </c>
      <c r="G358" s="11" t="s">
        <v>149</v>
      </c>
      <c r="H358" s="18" t="str">
        <f>IFERROR(INDEX('المحافظات Governorates'!$E$2:$E$151,MATCH(D358,'المحافظات Governorates'!$A$2:$A$151,0)),"")</f>
        <v>Thadiq</v>
      </c>
      <c r="I358" s="18" t="str">
        <f>IFERROR(INDEX('المناطق Regions'!$C$2:$C$15,MATCH(B358,'المناطق Regions'!$A$2:$A$15,0)),"")</f>
        <v>Riyadh</v>
      </c>
      <c r="J358" s="18" t="str">
        <f>F358&amp;", "&amp;E358&amp;", Saudi Arabia"</f>
        <v>الدبيجه, ثادق, Saudi Arabia</v>
      </c>
      <c r="K358" s="18">
        <v>24.969467</v>
      </c>
      <c r="L358" s="18">
        <v>45.756235</v>
      </c>
      <c r="M358" s="18">
        <v>2000</v>
      </c>
      <c r="N358" s="18" t="s">
        <v>562</v>
      </c>
    </row>
    <row r="359" ht="15" customHeight="1" spans="1:14" x14ac:dyDescent="0.25">
      <c r="A359" s="13" t="s">
        <v>1285</v>
      </c>
      <c r="B359" s="13">
        <v>1</v>
      </c>
      <c r="C359" s="14" t="s">
        <v>44</v>
      </c>
      <c r="D359" s="13" t="s">
        <v>163</v>
      </c>
      <c r="E359" s="14" t="s">
        <v>164</v>
      </c>
      <c r="F359" s="14" t="s">
        <v>1286</v>
      </c>
      <c r="G359" s="13" t="s">
        <v>113</v>
      </c>
      <c r="H359" s="18" t="str">
        <f>IFERROR(INDEX('المحافظات Governorates'!$E$2:$E$151,MATCH(D359,'المحافظات Governorates'!$A$2:$A$151,0)),"")</f>
        <v>Huraymila</v>
      </c>
      <c r="I359" s="18" t="str">
        <f>IFERROR(INDEX('المناطق Regions'!$C$2:$C$15,MATCH(B359,'المناطق Regions'!$A$2:$A$15,0)),"")</f>
        <v>Riyadh</v>
      </c>
      <c r="J359" s="18" t="str">
        <f>F359&amp;", "&amp;E359&amp;", Saudi Arabia"</f>
        <v>ملهم, حريملاء, Saudi Arabia</v>
      </c>
      <c r="K359" s="18">
        <v>25.142222</v>
      </c>
      <c r="L359" s="18">
        <v>46.264167</v>
      </c>
      <c r="M359" s="18">
        <v>2000</v>
      </c>
      <c r="N359" s="18" t="s">
        <v>562</v>
      </c>
    </row>
    <row r="360" ht="15" customHeight="1" spans="1:14" x14ac:dyDescent="0.25">
      <c r="A360" s="11" t="s">
        <v>1287</v>
      </c>
      <c r="B360" s="11">
        <v>1</v>
      </c>
      <c r="C360" s="12" t="s">
        <v>44</v>
      </c>
      <c r="D360" s="11" t="s">
        <v>163</v>
      </c>
      <c r="E360" s="12" t="s">
        <v>164</v>
      </c>
      <c r="F360" s="12" t="s">
        <v>1288</v>
      </c>
      <c r="G360" s="11" t="s">
        <v>149</v>
      </c>
      <c r="H360" s="18" t="str">
        <f>IFERROR(INDEX('المحافظات Governorates'!$E$2:$E$151,MATCH(D360,'المحافظات Governorates'!$A$2:$A$151,0)),"")</f>
        <v>Huraymila</v>
      </c>
      <c r="I360" s="18" t="str">
        <f>IFERROR(INDEX('المناطق Regions'!$C$2:$C$15,MATCH(B360,'المناطق Regions'!$A$2:$A$15,0)),"")</f>
        <v>Riyadh</v>
      </c>
      <c r="J360" s="18" t="str">
        <f>F360&amp;", "&amp;E360&amp;", Saudi Arabia"</f>
        <v>صلبوخ, حريملاء, Saudi Arabia</v>
      </c>
      <c r="K360" s="18">
        <v>25.078834</v>
      </c>
      <c r="L360" s="18">
        <v>46.345318</v>
      </c>
      <c r="M360" s="18">
        <v>2000</v>
      </c>
      <c r="N360" s="18" t="s">
        <v>562</v>
      </c>
    </row>
    <row r="361" ht="15" customHeight="1" spans="1:14" x14ac:dyDescent="0.25">
      <c r="A361" s="13" t="s">
        <v>1289</v>
      </c>
      <c r="B361" s="13">
        <v>1</v>
      </c>
      <c r="C361" s="14" t="s">
        <v>44</v>
      </c>
      <c r="D361" s="13" t="s">
        <v>163</v>
      </c>
      <c r="E361" s="14" t="s">
        <v>164</v>
      </c>
      <c r="F361" s="14" t="s">
        <v>1290</v>
      </c>
      <c r="G361" s="13" t="s">
        <v>149</v>
      </c>
      <c r="H361" s="18" t="str">
        <f>IFERROR(INDEX('المحافظات Governorates'!$E$2:$E$151,MATCH(D361,'المحافظات Governorates'!$A$2:$A$151,0)),"")</f>
        <v>Huraymila</v>
      </c>
      <c r="I361" s="18" t="str">
        <f>IFERROR(INDEX('المناطق Regions'!$C$2:$C$15,MATCH(B361,'المناطق Regions'!$A$2:$A$15,0)),"")</f>
        <v>Riyadh</v>
      </c>
      <c r="J361" s="18" t="str">
        <f>F361&amp;", "&amp;E361&amp;", Saudi Arabia"</f>
        <v>القرينه, حريملاء, Saudi Arabia</v>
      </c>
      <c r="K361" s="18">
        <v>25.101862</v>
      </c>
      <c r="L361" s="18">
        <v>46.19303</v>
      </c>
      <c r="M361" s="18">
        <v>2000</v>
      </c>
      <c r="N361" s="18" t="s">
        <v>562</v>
      </c>
    </row>
    <row r="362" ht="15" customHeight="1" spans="1:14" x14ac:dyDescent="0.25">
      <c r="A362" s="11" t="s">
        <v>1291</v>
      </c>
      <c r="B362" s="11">
        <v>1</v>
      </c>
      <c r="C362" s="12" t="s">
        <v>44</v>
      </c>
      <c r="D362" s="11" t="s">
        <v>163</v>
      </c>
      <c r="E362" s="12" t="s">
        <v>164</v>
      </c>
      <c r="F362" s="12" t="s">
        <v>1292</v>
      </c>
      <c r="G362" s="11" t="s">
        <v>149</v>
      </c>
      <c r="H362" s="18" t="str">
        <f>IFERROR(INDEX('المحافظات Governorates'!$E$2:$E$151,MATCH(D362,'المحافظات Governorates'!$A$2:$A$151,0)),"")</f>
        <v>Huraymila</v>
      </c>
      <c r="I362" s="18" t="str">
        <f>IFERROR(INDEX('المناطق Regions'!$C$2:$C$15,MATCH(B362,'المناطق Regions'!$A$2:$A$15,0)),"")</f>
        <v>Riyadh</v>
      </c>
      <c r="J362" s="18" t="str">
        <f>F362&amp;", "&amp;E362&amp;", Saudi Arabia"</f>
        <v>العويند, حريملاء, Saudi Arabia</v>
      </c>
      <c r="K362" s="18">
        <v>24.883871</v>
      </c>
      <c r="L362" s="18">
        <v>45.890163</v>
      </c>
      <c r="M362" s="18">
        <v>2000</v>
      </c>
      <c r="N362" s="18" t="s">
        <v>562</v>
      </c>
    </row>
    <row r="363" ht="15" customHeight="1" spans="1:14" x14ac:dyDescent="0.25">
      <c r="A363" s="13" t="s">
        <v>1293</v>
      </c>
      <c r="B363" s="13">
        <v>1</v>
      </c>
      <c r="C363" s="14" t="s">
        <v>44</v>
      </c>
      <c r="D363" s="13" t="s">
        <v>163</v>
      </c>
      <c r="E363" s="14" t="s">
        <v>164</v>
      </c>
      <c r="F363" s="14" t="s">
        <v>1294</v>
      </c>
      <c r="G363" s="13" t="s">
        <v>149</v>
      </c>
      <c r="H363" s="18" t="str">
        <f>IFERROR(INDEX('المحافظات Governorates'!$E$2:$E$151,MATCH(D363,'المحافظات Governorates'!$A$2:$A$151,0)),"")</f>
        <v>Huraymila</v>
      </c>
      <c r="I363" s="18" t="str">
        <f>IFERROR(INDEX('المناطق Regions'!$C$2:$C$15,MATCH(B363,'المناطق Regions'!$A$2:$A$15,0)),"")</f>
        <v>Riyadh</v>
      </c>
      <c r="J363" s="18" t="str">
        <f>F363&amp;", "&amp;E363&amp;", Saudi Arabia"</f>
        <v>غيانه, حريملاء, Saudi Arabia</v>
      </c>
      <c r="K363" s="18">
        <v>25.081918</v>
      </c>
      <c r="L363" s="18">
        <v>46.282049</v>
      </c>
      <c r="M363" s="18">
        <v>2000</v>
      </c>
      <c r="N363" s="18" t="s">
        <v>562</v>
      </c>
    </row>
    <row r="364" ht="15" customHeight="1" spans="1:14" x14ac:dyDescent="0.25">
      <c r="A364" s="11" t="s">
        <v>1295</v>
      </c>
      <c r="B364" s="11">
        <v>1</v>
      </c>
      <c r="C364" s="12" t="s">
        <v>44</v>
      </c>
      <c r="D364" s="11" t="s">
        <v>163</v>
      </c>
      <c r="E364" s="12" t="s">
        <v>164</v>
      </c>
      <c r="F364" s="12" t="s">
        <v>1296</v>
      </c>
      <c r="G364" s="11" t="s">
        <v>149</v>
      </c>
      <c r="H364" s="18" t="str">
        <f>IFERROR(INDEX('المحافظات Governorates'!$E$2:$E$151,MATCH(D364,'المحافظات Governorates'!$A$2:$A$151,0)),"")</f>
        <v>Huraymila</v>
      </c>
      <c r="I364" s="18" t="str">
        <f>IFERROR(INDEX('المناطق Regions'!$C$2:$C$15,MATCH(B364,'المناطق Regions'!$A$2:$A$15,0)),"")</f>
        <v>Riyadh</v>
      </c>
      <c r="J364" s="18" t="str">
        <f>F364&amp;", "&amp;E364&amp;", Saudi Arabia"</f>
        <v>دقله, حريملاء, Saudi Arabia</v>
      </c>
      <c r="K364" s="18">
        <v>25.324432</v>
      </c>
      <c r="L364" s="18">
        <v>46.168624</v>
      </c>
      <c r="M364" s="18">
        <v>2000</v>
      </c>
      <c r="N364" s="18" t="s">
        <v>562</v>
      </c>
    </row>
    <row r="365" ht="15" customHeight="1" spans="1:14" x14ac:dyDescent="0.25">
      <c r="A365" s="13" t="s">
        <v>1297</v>
      </c>
      <c r="B365" s="13">
        <v>1</v>
      </c>
      <c r="C365" s="14" t="s">
        <v>44</v>
      </c>
      <c r="D365" s="13" t="s">
        <v>163</v>
      </c>
      <c r="E365" s="14" t="s">
        <v>164</v>
      </c>
      <c r="F365" s="14" t="s">
        <v>1298</v>
      </c>
      <c r="G365" s="13" t="s">
        <v>149</v>
      </c>
      <c r="H365" s="18" t="str">
        <f>IFERROR(INDEX('المحافظات Governorates'!$E$2:$E$151,MATCH(D365,'المحافظات Governorates'!$A$2:$A$151,0)),"")</f>
        <v>Huraymila</v>
      </c>
      <c r="I365" s="18" t="str">
        <f>IFERROR(INDEX('المناطق Regions'!$C$2:$C$15,MATCH(B365,'المناطق Regions'!$A$2:$A$15,0)),"")</f>
        <v>Riyadh</v>
      </c>
      <c r="J365" s="18" t="str">
        <f>F365&amp;", "&amp;E365&amp;", Saudi Arabia"</f>
        <v>البويرده, حريملاء, Saudi Arabia</v>
      </c>
      <c r="K365" s="18">
        <v>25.270058</v>
      </c>
      <c r="L365" s="18">
        <v>46.10743</v>
      </c>
      <c r="M365" s="18">
        <v>2000</v>
      </c>
      <c r="N365" s="18" t="s">
        <v>562</v>
      </c>
    </row>
    <row r="366" ht="15" customHeight="1" spans="1:14" x14ac:dyDescent="0.25">
      <c r="A366" s="11" t="s">
        <v>1299</v>
      </c>
      <c r="B366" s="11">
        <v>1</v>
      </c>
      <c r="C366" s="12" t="s">
        <v>44</v>
      </c>
      <c r="D366" s="11" t="s">
        <v>166</v>
      </c>
      <c r="E366" s="12" t="s">
        <v>167</v>
      </c>
      <c r="F366" s="12" t="s">
        <v>1300</v>
      </c>
      <c r="G366" s="11" t="s">
        <v>113</v>
      </c>
      <c r="H366" s="18" t="str">
        <f>IFERROR(INDEX('المحافظات Governorates'!$E$2:$E$151,MATCH(D366,'المحافظات Governorates'!$A$2:$A$151,0)),"")</f>
        <v>Al-Hariq</v>
      </c>
      <c r="I366" s="18" t="str">
        <f>IFERROR(INDEX('المناطق Regions'!$C$2:$C$15,MATCH(B366,'المناطق Regions'!$A$2:$A$15,0)),"")</f>
        <v>Riyadh</v>
      </c>
      <c r="J366" s="18" t="str">
        <f>F366&amp;", "&amp;E366&amp;", Saudi Arabia"</f>
        <v>نعام, الحريق, Saudi Arabia</v>
      </c>
      <c r="K366" s="18">
        <v>23.614804</v>
      </c>
      <c r="L366" s="18">
        <v>46.638912</v>
      </c>
      <c r="M366" s="18">
        <v>2000</v>
      </c>
      <c r="N366" s="18" t="s">
        <v>562</v>
      </c>
    </row>
    <row r="367" ht="15" customHeight="1" spans="1:14" x14ac:dyDescent="0.25">
      <c r="A367" s="13" t="s">
        <v>1301</v>
      </c>
      <c r="B367" s="13">
        <v>1</v>
      </c>
      <c r="C367" s="14" t="s">
        <v>44</v>
      </c>
      <c r="D367" s="13" t="s">
        <v>166</v>
      </c>
      <c r="E367" s="14" t="s">
        <v>167</v>
      </c>
      <c r="F367" s="14" t="s">
        <v>1302</v>
      </c>
      <c r="G367" s="13" t="s">
        <v>149</v>
      </c>
      <c r="H367" s="18" t="str">
        <f>IFERROR(INDEX('المحافظات Governorates'!$E$2:$E$151,MATCH(D367,'المحافظات Governorates'!$A$2:$A$151,0)),"")</f>
        <v>Al-Hariq</v>
      </c>
      <c r="I367" s="18" t="str">
        <f>IFERROR(INDEX('المناطق Regions'!$C$2:$C$15,MATCH(B367,'المناطق Regions'!$A$2:$A$15,0)),"")</f>
        <v>Riyadh</v>
      </c>
      <c r="J367" s="18" t="str">
        <f>F367&amp;", "&amp;E367&amp;", Saudi Arabia"</f>
        <v>المفيجر, الحريق, Saudi Arabia</v>
      </c>
      <c r="K367" s="18">
        <v>23.457866</v>
      </c>
      <c r="L367" s="18">
        <v>46.182035</v>
      </c>
      <c r="M367" s="18">
        <v>80680</v>
      </c>
      <c r="N367" s="18" t="s">
        <v>1303</v>
      </c>
    </row>
    <row r="368" ht="15" customHeight="1" spans="1:14" x14ac:dyDescent="0.25">
      <c r="A368" s="11" t="s">
        <v>1304</v>
      </c>
      <c r="B368" s="11">
        <v>1</v>
      </c>
      <c r="C368" s="12" t="s">
        <v>44</v>
      </c>
      <c r="D368" s="11" t="s">
        <v>166</v>
      </c>
      <c r="E368" s="12" t="s">
        <v>167</v>
      </c>
      <c r="F368" s="12" t="s">
        <v>1305</v>
      </c>
      <c r="G368" s="11" t="s">
        <v>149</v>
      </c>
      <c r="H368" s="18" t="str">
        <f>IFERROR(INDEX('المحافظات Governorates'!$E$2:$E$151,MATCH(D368,'المحافظات Governorates'!$A$2:$A$151,0)),"")</f>
        <v>Al-Hariq</v>
      </c>
      <c r="I368" s="18" t="str">
        <f>IFERROR(INDEX('المناطق Regions'!$C$2:$C$15,MATCH(B368,'المناطق Regions'!$A$2:$A$15,0)),"")</f>
        <v>Riyadh</v>
      </c>
      <c r="J368" s="18" t="str">
        <f>F368&amp;", "&amp;E368&amp;", Saudi Arabia"</f>
        <v>ابو رمل, الحريق, Saudi Arabia</v>
      </c>
      <c r="K368" s="18">
        <v>23.232666</v>
      </c>
      <c r="L368" s="18">
        <v>45.822077</v>
      </c>
      <c r="M368" s="18">
        <v>2000</v>
      </c>
      <c r="N368" s="18" t="s">
        <v>562</v>
      </c>
    </row>
    <row r="369" ht="15" customHeight="1" spans="1:14" x14ac:dyDescent="0.25">
      <c r="A369" s="13" t="s">
        <v>1306</v>
      </c>
      <c r="B369" s="13">
        <v>1</v>
      </c>
      <c r="C369" s="14" t="s">
        <v>44</v>
      </c>
      <c r="D369" s="13" t="s">
        <v>166</v>
      </c>
      <c r="E369" s="14" t="s">
        <v>167</v>
      </c>
      <c r="F369" s="14" t="s">
        <v>1307</v>
      </c>
      <c r="G369" s="13" t="s">
        <v>149</v>
      </c>
      <c r="H369" s="18" t="str">
        <f>IFERROR(INDEX('المحافظات Governorates'!$E$2:$E$151,MATCH(D369,'المحافظات Governorates'!$A$2:$A$151,0)),"")</f>
        <v>Al-Hariq</v>
      </c>
      <c r="I369" s="18" t="str">
        <f>IFERROR(INDEX('المناطق Regions'!$C$2:$C$15,MATCH(B369,'المناطق Regions'!$A$2:$A$15,0)),"")</f>
        <v>Riyadh</v>
      </c>
      <c r="J369" s="18" t="str">
        <f>F369&amp;", "&amp;E369&amp;", Saudi Arabia"</f>
        <v>الربواء, الحريق, Saudi Arabia</v>
      </c>
      <c r="K369" s="18">
        <v>23.339359</v>
      </c>
      <c r="L369" s="18">
        <v>45.953365</v>
      </c>
      <c r="M369" s="18">
        <v>2000</v>
      </c>
      <c r="N369" s="18" t="s">
        <v>562</v>
      </c>
    </row>
    <row r="370" ht="15" customHeight="1" spans="1:14" x14ac:dyDescent="0.25">
      <c r="A370" s="11" t="s">
        <v>1308</v>
      </c>
      <c r="B370" s="11">
        <v>1</v>
      </c>
      <c r="C370" s="12" t="s">
        <v>44</v>
      </c>
      <c r="D370" s="11" t="s">
        <v>169</v>
      </c>
      <c r="E370" s="12" t="s">
        <v>170</v>
      </c>
      <c r="F370" s="12" t="s">
        <v>1309</v>
      </c>
      <c r="G370" s="11" t="s">
        <v>113</v>
      </c>
      <c r="H370" s="18" t="str">
        <f>IFERROR(INDEX('المحافظات Governorates'!$E$2:$E$151,MATCH(D370,'المحافظات Governorates'!$A$2:$A$151,0)),"")</f>
        <v>Al-Ghat</v>
      </c>
      <c r="I370" s="18" t="str">
        <f>IFERROR(INDEX('المناطق Regions'!$C$2:$C$15,MATCH(B370,'المناطق Regions'!$A$2:$A$15,0)),"")</f>
        <v>Riyadh</v>
      </c>
      <c r="J370" s="18" t="str">
        <f>F370&amp;", "&amp;E370&amp;", Saudi Arabia"</f>
        <v>مليح, الغاط, Saudi Arabia</v>
      </c>
      <c r="K370" s="18">
        <v>26.143333</v>
      </c>
      <c r="L370" s="18">
        <v>44.914444</v>
      </c>
      <c r="M370" s="18">
        <v>2000</v>
      </c>
      <c r="N370" s="18" t="s">
        <v>562</v>
      </c>
    </row>
    <row r="371" ht="15" customHeight="1" spans="1:14" x14ac:dyDescent="0.25">
      <c r="A371" s="13" t="s">
        <v>1310</v>
      </c>
      <c r="B371" s="13">
        <v>1</v>
      </c>
      <c r="C371" s="14" t="s">
        <v>44</v>
      </c>
      <c r="D371" s="13" t="s">
        <v>169</v>
      </c>
      <c r="E371" s="14" t="s">
        <v>170</v>
      </c>
      <c r="F371" s="14" t="s">
        <v>1311</v>
      </c>
      <c r="G371" s="13" t="s">
        <v>149</v>
      </c>
      <c r="H371" s="18" t="str">
        <f>IFERROR(INDEX('المحافظات Governorates'!$E$2:$E$151,MATCH(D371,'المحافظات Governorates'!$A$2:$A$151,0)),"")</f>
        <v>Al-Ghat</v>
      </c>
      <c r="I371" s="18" t="str">
        <f>IFERROR(INDEX('المناطق Regions'!$C$2:$C$15,MATCH(B371,'المناطق Regions'!$A$2:$A$15,0)),"")</f>
        <v>Riyadh</v>
      </c>
      <c r="J371" s="18" t="str">
        <f>F371&amp;", "&amp;E371&amp;", Saudi Arabia"</f>
        <v>ابا الصلابيخ, الغاط, Saudi Arabia</v>
      </c>
      <c r="K371" s="18">
        <v>25.937431</v>
      </c>
      <c r="L371" s="18">
        <v>44.884176</v>
      </c>
      <c r="M371" s="18">
        <v>2000</v>
      </c>
      <c r="N371" s="18" t="s">
        <v>562</v>
      </c>
    </row>
    <row r="372" ht="15" customHeight="1" spans="1:14" x14ac:dyDescent="0.25">
      <c r="A372" s="11" t="s">
        <v>1312</v>
      </c>
      <c r="B372" s="11">
        <v>1</v>
      </c>
      <c r="C372" s="12" t="s">
        <v>44</v>
      </c>
      <c r="D372" s="11" t="s">
        <v>169</v>
      </c>
      <c r="E372" s="12" t="s">
        <v>170</v>
      </c>
      <c r="F372" s="12" t="s">
        <v>1313</v>
      </c>
      <c r="G372" s="11" t="s">
        <v>149</v>
      </c>
      <c r="H372" s="18" t="str">
        <f>IFERROR(INDEX('المحافظات Governorates'!$E$2:$E$151,MATCH(D372,'المحافظات Governorates'!$A$2:$A$151,0)),"")</f>
        <v>Al-Ghat</v>
      </c>
      <c r="I372" s="18" t="str">
        <f>IFERROR(INDEX('المناطق Regions'!$C$2:$C$15,MATCH(B372,'المناطق Regions'!$A$2:$A$15,0)),"")</f>
        <v>Riyadh</v>
      </c>
      <c r="J372" s="18" t="str">
        <f>F372&amp;", "&amp;E372&amp;", Saudi Arabia"</f>
        <v>العبدليه, الغاط, Saudi Arabia</v>
      </c>
      <c r="K372" s="18">
        <v>25.857728</v>
      </c>
      <c r="L372" s="18">
        <v>44.726409</v>
      </c>
      <c r="M372" s="18">
        <v>2000</v>
      </c>
      <c r="N372" s="18" t="s">
        <v>562</v>
      </c>
    </row>
    <row r="373" ht="15" customHeight="1" spans="1:14" x14ac:dyDescent="0.25">
      <c r="A373" s="13" t="s">
        <v>1314</v>
      </c>
      <c r="B373" s="13">
        <v>1</v>
      </c>
      <c r="C373" s="14" t="s">
        <v>44</v>
      </c>
      <c r="D373" s="13" t="s">
        <v>172</v>
      </c>
      <c r="E373" s="14" t="s">
        <v>173</v>
      </c>
      <c r="F373" s="14" t="s">
        <v>1315</v>
      </c>
      <c r="G373" s="13" t="s">
        <v>113</v>
      </c>
      <c r="H373" s="18" t="str">
        <f>IFERROR(INDEX('المحافظات Governorates'!$E$2:$E$151,MATCH(D373,'المحافظات Governorates'!$A$2:$A$151,0)),"")</f>
        <v>Marat</v>
      </c>
      <c r="I373" s="18" t="str">
        <f>IFERROR(INDEX('المناطق Regions'!$C$2:$C$15,MATCH(B373,'المناطق Regions'!$A$2:$A$15,0)),"")</f>
        <v>Riyadh</v>
      </c>
      <c r="J373" s="18" t="str">
        <f>F373&amp;", "&amp;E373&amp;", Saudi Arabia"</f>
        <v>اثيثيه, مرات, Saudi Arabia</v>
      </c>
      <c r="K373" s="18">
        <v>25.167246</v>
      </c>
      <c r="L373" s="18">
        <v>45.395853</v>
      </c>
      <c r="M373" s="18">
        <v>2000</v>
      </c>
      <c r="N373" s="18" t="s">
        <v>562</v>
      </c>
    </row>
    <row r="374" ht="15" customHeight="1" spans="1:14" x14ac:dyDescent="0.25">
      <c r="A374" s="11" t="s">
        <v>1316</v>
      </c>
      <c r="B374" s="11">
        <v>1</v>
      </c>
      <c r="C374" s="12" t="s">
        <v>44</v>
      </c>
      <c r="D374" s="11" t="s">
        <v>172</v>
      </c>
      <c r="E374" s="12" t="s">
        <v>173</v>
      </c>
      <c r="F374" s="12" t="s">
        <v>1317</v>
      </c>
      <c r="G374" s="11" t="s">
        <v>113</v>
      </c>
      <c r="H374" s="18" t="str">
        <f>IFERROR(INDEX('المحافظات Governorates'!$E$2:$E$151,MATCH(D374,'المحافظات Governorates'!$A$2:$A$151,0)),"")</f>
        <v>Marat</v>
      </c>
      <c r="I374" s="18" t="str">
        <f>IFERROR(INDEX('المناطق Regions'!$C$2:$C$15,MATCH(B374,'المناطق Regions'!$A$2:$A$15,0)),"")</f>
        <v>Riyadh</v>
      </c>
      <c r="J374" s="18" t="str">
        <f>F374&amp;", "&amp;E374&amp;", Saudi Arabia"</f>
        <v>ثرمداء, مرات, Saudi Arabia</v>
      </c>
      <c r="K374" s="18">
        <v>25.118353</v>
      </c>
      <c r="L374" s="18">
        <v>45.490897</v>
      </c>
      <c r="M374" s="18">
        <v>2000</v>
      </c>
      <c r="N374" s="18" t="s">
        <v>562</v>
      </c>
    </row>
    <row r="375" ht="15" customHeight="1" spans="1:14" x14ac:dyDescent="0.25">
      <c r="A375" s="13" t="s">
        <v>1318</v>
      </c>
      <c r="B375" s="13">
        <v>1</v>
      </c>
      <c r="C375" s="14" t="s">
        <v>44</v>
      </c>
      <c r="D375" s="13" t="s">
        <v>172</v>
      </c>
      <c r="E375" s="14" t="s">
        <v>173</v>
      </c>
      <c r="F375" s="14" t="s">
        <v>1319</v>
      </c>
      <c r="G375" s="13" t="s">
        <v>113</v>
      </c>
      <c r="H375" s="18" t="str">
        <f>IFERROR(INDEX('المحافظات Governorates'!$E$2:$E$151,MATCH(D375,'المحافظات Governorates'!$A$2:$A$151,0)),"")</f>
        <v>Marat</v>
      </c>
      <c r="I375" s="18" t="str">
        <f>IFERROR(INDEX('المناطق Regions'!$C$2:$C$15,MATCH(B375,'المناطق Regions'!$A$2:$A$15,0)),"")</f>
        <v>Riyadh</v>
      </c>
      <c r="J375" s="18" t="str">
        <f>F375&amp;", "&amp;E375&amp;", Saudi Arabia"</f>
        <v>لبخه, مرات, Saudi Arabia</v>
      </c>
      <c r="K375" s="18">
        <v>24.512123</v>
      </c>
      <c r="L375" s="18">
        <v>45.383907</v>
      </c>
      <c r="M375" s="18">
        <v>2000</v>
      </c>
      <c r="N375" s="18" t="s">
        <v>562</v>
      </c>
    </row>
    <row r="376" ht="15" customHeight="1" spans="1:14" x14ac:dyDescent="0.25">
      <c r="A376" s="11" t="s">
        <v>1320</v>
      </c>
      <c r="B376" s="11">
        <v>1</v>
      </c>
      <c r="C376" s="12" t="s">
        <v>44</v>
      </c>
      <c r="D376" s="11" t="s">
        <v>172</v>
      </c>
      <c r="E376" s="12" t="s">
        <v>173</v>
      </c>
      <c r="F376" s="12" t="s">
        <v>1321</v>
      </c>
      <c r="G376" s="11" t="s">
        <v>149</v>
      </c>
      <c r="H376" s="18" t="str">
        <f>IFERROR(INDEX('المحافظات Governorates'!$E$2:$E$151,MATCH(D376,'المحافظات Governorates'!$A$2:$A$151,0)),"")</f>
        <v>Marat</v>
      </c>
      <c r="I376" s="18" t="str">
        <f>IFERROR(INDEX('المناطق Regions'!$C$2:$C$15,MATCH(B376,'المناطق Regions'!$A$2:$A$15,0)),"")</f>
        <v>Riyadh</v>
      </c>
      <c r="J376" s="18" t="str">
        <f>F376&amp;", "&amp;E376&amp;", Saudi Arabia"</f>
        <v>حويته, مرات, Saudi Arabia</v>
      </c>
      <c r="K376" s="18">
        <v>24.615735</v>
      </c>
      <c r="L376" s="18">
        <v>45.257311</v>
      </c>
      <c r="M376" s="18">
        <v>2000</v>
      </c>
      <c r="N376" s="18" t="s">
        <v>562</v>
      </c>
    </row>
    <row r="377" ht="15" customHeight="1" spans="1:14" x14ac:dyDescent="0.25">
      <c r="A377" s="13" t="s">
        <v>1322</v>
      </c>
      <c r="B377" s="13">
        <v>1</v>
      </c>
      <c r="C377" s="14" t="s">
        <v>44</v>
      </c>
      <c r="D377" s="13" t="s">
        <v>179</v>
      </c>
      <c r="E377" s="14" t="s">
        <v>180</v>
      </c>
      <c r="F377" s="14" t="s">
        <v>1323</v>
      </c>
      <c r="G377" s="13" t="s">
        <v>113</v>
      </c>
      <c r="H377" s="18" t="str">
        <f>IFERROR(INDEX('المحافظات Governorates'!$E$2:$E$151,MATCH(D377,'المحافظات Governorates'!$A$2:$A$151,0)),"")</f>
        <v>Ar-Rayn</v>
      </c>
      <c r="I377" s="18" t="str">
        <f>IFERROR(INDEX('المناطق Regions'!$C$2:$C$15,MATCH(B377,'المناطق Regions'!$A$2:$A$15,0)),"")</f>
        <v>Riyadh</v>
      </c>
      <c r="J377" s="18" t="str">
        <f>F377&amp;", "&amp;E377&amp;", Saudi Arabia"</f>
        <v>الرين القديم, الرين, Saudi Arabia</v>
      </c>
      <c r="K377" s="18">
        <v>23.01605</v>
      </c>
      <c r="L377" s="18">
        <v>45.161162</v>
      </c>
      <c r="M377" s="18">
        <v>131485</v>
      </c>
      <c r="N377" s="18" t="s">
        <v>1324</v>
      </c>
    </row>
    <row r="378" ht="15" customHeight="1" spans="1:14" x14ac:dyDescent="0.25">
      <c r="A378" s="11" t="s">
        <v>1325</v>
      </c>
      <c r="B378" s="11">
        <v>1</v>
      </c>
      <c r="C378" s="12" t="s">
        <v>44</v>
      </c>
      <c r="D378" s="11" t="s">
        <v>179</v>
      </c>
      <c r="E378" s="12" t="s">
        <v>180</v>
      </c>
      <c r="F378" s="12" t="s">
        <v>1326</v>
      </c>
      <c r="G378" s="11" t="s">
        <v>113</v>
      </c>
      <c r="H378" s="18" t="str">
        <f>IFERROR(INDEX('المحافظات Governorates'!$E$2:$E$151,MATCH(D378,'المحافظات Governorates'!$A$2:$A$151,0)),"")</f>
        <v>Ar-Rayn</v>
      </c>
      <c r="I378" s="18" t="str">
        <f>IFERROR(INDEX('المناطق Regions'!$C$2:$C$15,MATCH(B378,'المناطق Regions'!$A$2:$A$15,0)),"")</f>
        <v>Riyadh</v>
      </c>
      <c r="J378" s="18" t="str">
        <f>F378&amp;", "&amp;E378&amp;", Saudi Arabia"</f>
        <v>قبيبان, الرين, Saudi Arabia</v>
      </c>
      <c r="K378" s="18">
        <v>23.55326</v>
      </c>
      <c r="L378" s="18">
        <v>45.54791</v>
      </c>
      <c r="M378" s="18">
        <v>2000</v>
      </c>
      <c r="N378" s="18" t="s">
        <v>562</v>
      </c>
    </row>
    <row r="379" ht="15" customHeight="1" spans="1:14" x14ac:dyDescent="0.25">
      <c r="A379" s="13" t="s">
        <v>1327</v>
      </c>
      <c r="B379" s="13">
        <v>1</v>
      </c>
      <c r="C379" s="14" t="s">
        <v>44</v>
      </c>
      <c r="D379" s="13" t="s">
        <v>179</v>
      </c>
      <c r="E379" s="14" t="s">
        <v>180</v>
      </c>
      <c r="F379" s="14" t="s">
        <v>1328</v>
      </c>
      <c r="G379" s="13" t="s">
        <v>113</v>
      </c>
      <c r="H379" s="18" t="str">
        <f>IFERROR(INDEX('المحافظات Governorates'!$E$2:$E$151,MATCH(D379,'المحافظات Governorates'!$A$2:$A$151,0)),"")</f>
        <v>Ar-Rayn</v>
      </c>
      <c r="I379" s="18" t="str">
        <f>IFERROR(INDEX('المناطق Regions'!$C$2:$C$15,MATCH(B379,'المناطق Regions'!$A$2:$A$15,0)),"")</f>
        <v>Riyadh</v>
      </c>
      <c r="J379" s="18" t="str">
        <f>F379&amp;", "&amp;E379&amp;", Saudi Arabia"</f>
        <v>عبليه بالرين, الرين, Saudi Arabia</v>
      </c>
      <c r="K379" s="18">
        <v>23.01605</v>
      </c>
      <c r="L379" s="18">
        <v>45.161162</v>
      </c>
      <c r="M379" s="18">
        <v>131485</v>
      </c>
      <c r="N379" s="18" t="s">
        <v>1324</v>
      </c>
    </row>
    <row r="380" ht="15" customHeight="1" spans="1:14" x14ac:dyDescent="0.25">
      <c r="A380" s="11" t="s">
        <v>1329</v>
      </c>
      <c r="B380" s="11">
        <v>1</v>
      </c>
      <c r="C380" s="12" t="s">
        <v>44</v>
      </c>
      <c r="D380" s="11" t="s">
        <v>179</v>
      </c>
      <c r="E380" s="12" t="s">
        <v>180</v>
      </c>
      <c r="F380" s="12" t="s">
        <v>1330</v>
      </c>
      <c r="G380" s="11" t="s">
        <v>149</v>
      </c>
      <c r="H380" s="18" t="str">
        <f>IFERROR(INDEX('المحافظات Governorates'!$E$2:$E$151,MATCH(D380,'المحافظات Governorates'!$A$2:$A$151,0)),"")</f>
        <v>Ar-Rayn</v>
      </c>
      <c r="I380" s="18" t="str">
        <f>IFERROR(INDEX('المناطق Regions'!$C$2:$C$15,MATCH(B380,'المناطق Regions'!$A$2:$A$15,0)),"")</f>
        <v>Riyadh</v>
      </c>
      <c r="J380" s="18" t="str">
        <f>F380&amp;", "&amp;E380&amp;", Saudi Arabia"</f>
        <v>الرفاع بالرين, الرين, Saudi Arabia</v>
      </c>
      <c r="K380" s="18">
        <v>23.01605</v>
      </c>
      <c r="L380" s="18">
        <v>45.161162</v>
      </c>
      <c r="M380" s="18">
        <v>131485</v>
      </c>
      <c r="N380" s="18" t="s">
        <v>1324</v>
      </c>
    </row>
    <row r="381" ht="15" customHeight="1" spans="1:14" x14ac:dyDescent="0.25">
      <c r="A381" s="13" t="s">
        <v>1331</v>
      </c>
      <c r="B381" s="13">
        <v>1</v>
      </c>
      <c r="C381" s="14" t="s">
        <v>44</v>
      </c>
      <c r="D381" s="13" t="s">
        <v>179</v>
      </c>
      <c r="E381" s="14" t="s">
        <v>180</v>
      </c>
      <c r="F381" s="14" t="s">
        <v>1332</v>
      </c>
      <c r="G381" s="13" t="s">
        <v>149</v>
      </c>
      <c r="H381" s="18" t="str">
        <f>IFERROR(INDEX('المحافظات Governorates'!$E$2:$E$151,MATCH(D381,'المحافظات Governorates'!$A$2:$A$151,0)),"")</f>
        <v>Ar-Rayn</v>
      </c>
      <c r="I381" s="18" t="str">
        <f>IFERROR(INDEX('المناطق Regions'!$C$2:$C$15,MATCH(B381,'المناطق Regions'!$A$2:$A$15,0)),"")</f>
        <v>Riyadh</v>
      </c>
      <c r="J381" s="18" t="str">
        <f>F381&amp;", "&amp;E381&amp;", Saudi Arabia"</f>
        <v>المعيزيله, الرين, Saudi Arabia</v>
      </c>
      <c r="K381" s="18">
        <v>23.01605</v>
      </c>
      <c r="L381" s="18">
        <v>45.161162</v>
      </c>
      <c r="M381" s="18">
        <v>131485</v>
      </c>
      <c r="N381" s="18" t="s">
        <v>1324</v>
      </c>
    </row>
    <row r="382" ht="15" customHeight="1" spans="1:14" x14ac:dyDescent="0.25">
      <c r="A382" s="11" t="s">
        <v>1333</v>
      </c>
      <c r="B382" s="11">
        <v>1</v>
      </c>
      <c r="C382" s="12" t="s">
        <v>44</v>
      </c>
      <c r="D382" s="11" t="s">
        <v>179</v>
      </c>
      <c r="E382" s="12" t="s">
        <v>180</v>
      </c>
      <c r="F382" s="12" t="s">
        <v>1334</v>
      </c>
      <c r="G382" s="11" t="s">
        <v>149</v>
      </c>
      <c r="H382" s="18" t="str">
        <f>IFERROR(INDEX('المحافظات Governorates'!$E$2:$E$151,MATCH(D382,'المحافظات Governorates'!$A$2:$A$151,0)),"")</f>
        <v>Ar-Rayn</v>
      </c>
      <c r="I382" s="18" t="str">
        <f>IFERROR(INDEX('المناطق Regions'!$C$2:$C$15,MATCH(B382,'المناطق Regions'!$A$2:$A$15,0)),"")</f>
        <v>Riyadh</v>
      </c>
      <c r="J382" s="18" t="str">
        <f>F382&amp;", "&amp;E382&amp;", Saudi Arabia"</f>
        <v>المثناه بالرين, الرين, Saudi Arabia</v>
      </c>
      <c r="K382" s="18">
        <v>23.01605</v>
      </c>
      <c r="L382" s="18">
        <v>45.161162</v>
      </c>
      <c r="M382" s="18">
        <v>131485</v>
      </c>
      <c r="N382" s="18" t="s">
        <v>1324</v>
      </c>
    </row>
    <row r="383" ht="15" customHeight="1" spans="1:14" x14ac:dyDescent="0.25">
      <c r="A383" s="13" t="s">
        <v>1335</v>
      </c>
      <c r="B383" s="13">
        <v>1</v>
      </c>
      <c r="C383" s="14" t="s">
        <v>44</v>
      </c>
      <c r="D383" s="13" t="s">
        <v>179</v>
      </c>
      <c r="E383" s="14" t="s">
        <v>180</v>
      </c>
      <c r="F383" s="14" t="s">
        <v>1336</v>
      </c>
      <c r="G383" s="13" t="s">
        <v>149</v>
      </c>
      <c r="H383" s="18" t="str">
        <f>IFERROR(INDEX('المحافظات Governorates'!$E$2:$E$151,MATCH(D383,'المحافظات Governorates'!$A$2:$A$151,0)),"")</f>
        <v>Ar-Rayn</v>
      </c>
      <c r="I383" s="18" t="str">
        <f>IFERROR(INDEX('المناطق Regions'!$C$2:$C$15,MATCH(B383,'المناطق Regions'!$A$2:$A$15,0)),"")</f>
        <v>Riyadh</v>
      </c>
      <c r="J383" s="18" t="str">
        <f>F383&amp;", "&amp;E383&amp;", Saudi Arabia"</f>
        <v>الفرعه بالرين, الرين, Saudi Arabia</v>
      </c>
      <c r="K383" s="18">
        <v>23.01605</v>
      </c>
      <c r="L383" s="18">
        <v>45.161162</v>
      </c>
      <c r="M383" s="18">
        <v>131485</v>
      </c>
      <c r="N383" s="18" t="s">
        <v>1324</v>
      </c>
    </row>
    <row r="384" ht="15" customHeight="1" spans="1:14" x14ac:dyDescent="0.25">
      <c r="A384" s="11" t="s">
        <v>1337</v>
      </c>
      <c r="B384" s="11">
        <v>1</v>
      </c>
      <c r="C384" s="12" t="s">
        <v>44</v>
      </c>
      <c r="D384" s="11" t="s">
        <v>179</v>
      </c>
      <c r="E384" s="12" t="s">
        <v>180</v>
      </c>
      <c r="F384" s="12" t="s">
        <v>1338</v>
      </c>
      <c r="G384" s="11" t="s">
        <v>113</v>
      </c>
      <c r="H384" s="18" t="str">
        <f>IFERROR(INDEX('المحافظات Governorates'!$E$2:$E$151,MATCH(D384,'المحافظات Governorates'!$A$2:$A$151,0)),"")</f>
        <v>Ar-Rayn</v>
      </c>
      <c r="I384" s="18" t="str">
        <f>IFERROR(INDEX('المناطق Regions'!$C$2:$C$15,MATCH(B384,'المناطق Regions'!$A$2:$A$15,0)),"")</f>
        <v>Riyadh</v>
      </c>
      <c r="J384" s="18" t="str">
        <f>F384&amp;", "&amp;E384&amp;", Saudi Arabia"</f>
        <v>الرين الاعلى, الرين, Saudi Arabia</v>
      </c>
      <c r="K384" s="18">
        <v>23.01605</v>
      </c>
      <c r="L384" s="18">
        <v>45.161162</v>
      </c>
      <c r="M384" s="18">
        <v>131485</v>
      </c>
      <c r="N384" s="18" t="s">
        <v>1324</v>
      </c>
    </row>
    <row r="385" ht="15" customHeight="1" spans="1:14" x14ac:dyDescent="0.25">
      <c r="A385" s="13" t="s">
        <v>1339</v>
      </c>
      <c r="B385" s="13">
        <v>1</v>
      </c>
      <c r="C385" s="14" t="s">
        <v>44</v>
      </c>
      <c r="D385" s="13" t="s">
        <v>179</v>
      </c>
      <c r="E385" s="14" t="s">
        <v>180</v>
      </c>
      <c r="F385" s="14" t="s">
        <v>1340</v>
      </c>
      <c r="G385" s="13" t="s">
        <v>113</v>
      </c>
      <c r="H385" s="18" t="str">
        <f>IFERROR(INDEX('المحافظات Governorates'!$E$2:$E$151,MATCH(D385,'المحافظات Governorates'!$A$2:$A$151,0)),"")</f>
        <v>Ar-Rayn</v>
      </c>
      <c r="I385" s="18" t="str">
        <f>IFERROR(INDEX('المناطق Regions'!$C$2:$C$15,MATCH(B385,'المناطق Regions'!$A$2:$A$15,0)),"")</f>
        <v>Riyadh</v>
      </c>
      <c r="J385" s="18" t="str">
        <f>F385&amp;", "&amp;E385&amp;", Saudi Arabia"</f>
        <v>البدائع بالرين, الرين, Saudi Arabia</v>
      </c>
      <c r="K385" s="18">
        <v>23.01605</v>
      </c>
      <c r="L385" s="18">
        <v>45.161162</v>
      </c>
      <c r="M385" s="18">
        <v>131485</v>
      </c>
      <c r="N385" s="18" t="s">
        <v>1324</v>
      </c>
    </row>
    <row r="386" ht="15" customHeight="1" spans="1:14" x14ac:dyDescent="0.25">
      <c r="A386" s="11" t="s">
        <v>1341</v>
      </c>
      <c r="B386" s="11">
        <v>1</v>
      </c>
      <c r="C386" s="12" t="s">
        <v>44</v>
      </c>
      <c r="D386" s="11" t="s">
        <v>179</v>
      </c>
      <c r="E386" s="12" t="s">
        <v>180</v>
      </c>
      <c r="F386" s="12" t="s">
        <v>1342</v>
      </c>
      <c r="G386" s="11" t="s">
        <v>149</v>
      </c>
      <c r="H386" s="18" t="str">
        <f>IFERROR(INDEX('المحافظات Governorates'!$E$2:$E$151,MATCH(D386,'المحافظات Governorates'!$A$2:$A$151,0)),"")</f>
        <v>Ar-Rayn</v>
      </c>
      <c r="I386" s="18" t="str">
        <f>IFERROR(INDEX('المناطق Regions'!$C$2:$C$15,MATCH(B386,'المناطق Regions'!$A$2:$A$15,0)),"")</f>
        <v>Riyadh</v>
      </c>
      <c r="J386" s="18" t="str">
        <f>F386&amp;", "&amp;E386&amp;", Saudi Arabia"</f>
        <v>الرواما, الرين, Saudi Arabia</v>
      </c>
      <c r="K386" s="18">
        <v>23.01605</v>
      </c>
      <c r="L386" s="18">
        <v>45.161162</v>
      </c>
      <c r="M386" s="18">
        <v>131485</v>
      </c>
      <c r="N386" s="18" t="s">
        <v>1324</v>
      </c>
    </row>
    <row r="387" ht="15" customHeight="1" spans="1:14" x14ac:dyDescent="0.25">
      <c r="A387" s="13" t="s">
        <v>1343</v>
      </c>
      <c r="B387" s="13">
        <v>1</v>
      </c>
      <c r="C387" s="14" t="s">
        <v>44</v>
      </c>
      <c r="D387" s="13" t="s">
        <v>179</v>
      </c>
      <c r="E387" s="14" t="s">
        <v>180</v>
      </c>
      <c r="F387" s="14" t="s">
        <v>1344</v>
      </c>
      <c r="G387" s="13" t="s">
        <v>113</v>
      </c>
      <c r="H387" s="18" t="str">
        <f>IFERROR(INDEX('المحافظات Governorates'!$E$2:$E$151,MATCH(D387,'المحافظات Governorates'!$A$2:$A$151,0)),"")</f>
        <v>Ar-Rayn</v>
      </c>
      <c r="I387" s="18" t="str">
        <f>IFERROR(INDEX('المناطق Regions'!$C$2:$C$15,MATCH(B387,'المناطق Regions'!$A$2:$A$15,0)),"")</f>
        <v>Riyadh</v>
      </c>
      <c r="J387" s="18" t="str">
        <f>F387&amp;", "&amp;E387&amp;", Saudi Arabia"</f>
        <v>الناصفه بالرين وآل عاطف بالرين, الرين, Saudi Arabia</v>
      </c>
      <c r="K387" s="18">
        <v>23.01605</v>
      </c>
      <c r="L387" s="18">
        <v>45.161162</v>
      </c>
      <c r="M387" s="18">
        <v>131485</v>
      </c>
      <c r="N387" s="18" t="s">
        <v>1324</v>
      </c>
    </row>
    <row r="388" ht="15" customHeight="1" spans="1:14" x14ac:dyDescent="0.25">
      <c r="A388" s="11" t="s">
        <v>1345</v>
      </c>
      <c r="B388" s="11">
        <v>1</v>
      </c>
      <c r="C388" s="12" t="s">
        <v>44</v>
      </c>
      <c r="D388" s="11" t="s">
        <v>179</v>
      </c>
      <c r="E388" s="12" t="s">
        <v>180</v>
      </c>
      <c r="F388" s="12" t="s">
        <v>1346</v>
      </c>
      <c r="G388" s="11" t="s">
        <v>149</v>
      </c>
      <c r="H388" s="18" t="str">
        <f>IFERROR(INDEX('المحافظات Governorates'!$E$2:$E$151,MATCH(D388,'المحافظات Governorates'!$A$2:$A$151,0)),"")</f>
        <v>Ar-Rayn</v>
      </c>
      <c r="I388" s="18" t="str">
        <f>IFERROR(INDEX('المناطق Regions'!$C$2:$C$15,MATCH(B388,'المناطق Regions'!$A$2:$A$15,0)),"")</f>
        <v>Riyadh</v>
      </c>
      <c r="J388" s="18" t="str">
        <f>F388&amp;", "&amp;E388&amp;", Saudi Arabia"</f>
        <v>الحلوة بالرين, الرين, Saudi Arabia</v>
      </c>
      <c r="K388" s="18">
        <v>23.01605</v>
      </c>
      <c r="L388" s="18">
        <v>45.161162</v>
      </c>
      <c r="M388" s="18">
        <v>131485</v>
      </c>
      <c r="N388" s="18" t="s">
        <v>1324</v>
      </c>
    </row>
    <row r="389" ht="15" customHeight="1" spans="1:14" x14ac:dyDescent="0.25">
      <c r="A389" s="13" t="s">
        <v>1347</v>
      </c>
      <c r="B389" s="13">
        <v>1</v>
      </c>
      <c r="C389" s="14" t="s">
        <v>44</v>
      </c>
      <c r="D389" s="13" t="s">
        <v>179</v>
      </c>
      <c r="E389" s="14" t="s">
        <v>180</v>
      </c>
      <c r="F389" s="14" t="s">
        <v>1348</v>
      </c>
      <c r="G389" s="13" t="s">
        <v>149</v>
      </c>
      <c r="H389" s="18" t="str">
        <f>IFERROR(INDEX('المحافظات Governorates'!$E$2:$E$151,MATCH(D389,'المحافظات Governorates'!$A$2:$A$151,0)),"")</f>
        <v>Ar-Rayn</v>
      </c>
      <c r="I389" s="18" t="str">
        <f>IFERROR(INDEX('المناطق Regions'!$C$2:$C$15,MATCH(B389,'المناطق Regions'!$A$2:$A$15,0)),"")</f>
        <v>Riyadh</v>
      </c>
      <c r="J389" s="18" t="str">
        <f>F389&amp;", "&amp;E389&amp;", Saudi Arabia"</f>
        <v>السحيميه, الرين, Saudi Arabia</v>
      </c>
      <c r="K389" s="18">
        <v>23.672125</v>
      </c>
      <c r="L389" s="18">
        <v>45.256721</v>
      </c>
      <c r="M389" s="18">
        <v>2000</v>
      </c>
      <c r="N389" s="18" t="s">
        <v>562</v>
      </c>
    </row>
    <row r="390" ht="15" customHeight="1" spans="1:14" x14ac:dyDescent="0.25">
      <c r="A390" s="11" t="s">
        <v>1349</v>
      </c>
      <c r="B390" s="11">
        <v>1</v>
      </c>
      <c r="C390" s="12" t="s">
        <v>44</v>
      </c>
      <c r="D390" s="11" t="s">
        <v>179</v>
      </c>
      <c r="E390" s="12" t="s">
        <v>180</v>
      </c>
      <c r="F390" s="12" t="s">
        <v>1350</v>
      </c>
      <c r="G390" s="11" t="s">
        <v>149</v>
      </c>
      <c r="H390" s="18" t="str">
        <f>IFERROR(INDEX('المحافظات Governorates'!$E$2:$E$151,MATCH(D390,'المحافظات Governorates'!$A$2:$A$151,0)),"")</f>
        <v>Ar-Rayn</v>
      </c>
      <c r="I390" s="18" t="str">
        <f>IFERROR(INDEX('المناطق Regions'!$C$2:$C$15,MATCH(B390,'المناطق Regions'!$A$2:$A$15,0)),"")</f>
        <v>Riyadh</v>
      </c>
      <c r="J390" s="18" t="str">
        <f>F390&amp;", "&amp;E390&amp;", Saudi Arabia"</f>
        <v>الحجاجى, الرين, Saudi Arabia</v>
      </c>
      <c r="K390" s="18">
        <v>23.683626</v>
      </c>
      <c r="L390" s="18">
        <v>45.233288</v>
      </c>
      <c r="M390" s="18">
        <v>2000</v>
      </c>
      <c r="N390" s="18" t="s">
        <v>562</v>
      </c>
    </row>
    <row r="391" ht="15" customHeight="1" spans="1:14" x14ac:dyDescent="0.25">
      <c r="A391" s="13" t="s">
        <v>1351</v>
      </c>
      <c r="B391" s="13">
        <v>1</v>
      </c>
      <c r="C391" s="14" t="s">
        <v>44</v>
      </c>
      <c r="D391" s="13" t="s">
        <v>179</v>
      </c>
      <c r="E391" s="14" t="s">
        <v>180</v>
      </c>
      <c r="F391" s="14" t="s">
        <v>1352</v>
      </c>
      <c r="G391" s="13" t="s">
        <v>149</v>
      </c>
      <c r="H391" s="18" t="str">
        <f>IFERROR(INDEX('المحافظات Governorates'!$E$2:$E$151,MATCH(D391,'المحافظات Governorates'!$A$2:$A$151,0)),"")</f>
        <v>Ar-Rayn</v>
      </c>
      <c r="I391" s="18" t="str">
        <f>IFERROR(INDEX('المناطق Regions'!$C$2:$C$15,MATCH(B391,'المناطق Regions'!$A$2:$A$15,0)),"")</f>
        <v>Riyadh</v>
      </c>
      <c r="J391" s="18" t="str">
        <f>F391&amp;", "&amp;E391&amp;", Saudi Arabia"</f>
        <v>فيضة بن سعيدان, الرين, Saudi Arabia</v>
      </c>
      <c r="K391" s="18">
        <v>23.01605</v>
      </c>
      <c r="L391" s="18">
        <v>45.161162</v>
      </c>
      <c r="M391" s="18">
        <v>131485</v>
      </c>
      <c r="N391" s="18" t="s">
        <v>1324</v>
      </c>
    </row>
    <row r="392" ht="15" customHeight="1" spans="1:14" x14ac:dyDescent="0.25">
      <c r="A392" s="11" t="s">
        <v>1353</v>
      </c>
      <c r="B392" s="11">
        <v>1</v>
      </c>
      <c r="C392" s="12" t="s">
        <v>44</v>
      </c>
      <c r="D392" s="11" t="s">
        <v>179</v>
      </c>
      <c r="E392" s="12" t="s">
        <v>180</v>
      </c>
      <c r="F392" s="12" t="s">
        <v>1354</v>
      </c>
      <c r="G392" s="11" t="s">
        <v>113</v>
      </c>
      <c r="H392" s="18" t="str">
        <f>IFERROR(INDEX('المحافظات Governorates'!$E$2:$E$151,MATCH(D392,'المحافظات Governorates'!$A$2:$A$151,0)),"")</f>
        <v>Ar-Rayn</v>
      </c>
      <c r="I392" s="18" t="str">
        <f>IFERROR(INDEX('المناطق Regions'!$C$2:$C$15,MATCH(B392,'المناطق Regions'!$A$2:$A$15,0)),"")</f>
        <v>Riyadh</v>
      </c>
      <c r="J392" s="18" t="str">
        <f>F392&amp;", "&amp;E392&amp;", Saudi Arabia"</f>
        <v>عنان, الرين, Saudi Arabia</v>
      </c>
      <c r="K392" s="18">
        <v>23.797518</v>
      </c>
      <c r="L392" s="18">
        <v>45.285008</v>
      </c>
      <c r="M392" s="18">
        <v>2000</v>
      </c>
      <c r="N392" s="18" t="s">
        <v>562</v>
      </c>
    </row>
    <row r="393" ht="15" customHeight="1" spans="1:14" x14ac:dyDescent="0.25">
      <c r="A393" s="13" t="s">
        <v>1355</v>
      </c>
      <c r="B393" s="13">
        <v>1</v>
      </c>
      <c r="C393" s="14" t="s">
        <v>44</v>
      </c>
      <c r="D393" s="13" t="s">
        <v>179</v>
      </c>
      <c r="E393" s="14" t="s">
        <v>180</v>
      </c>
      <c r="F393" s="14" t="s">
        <v>1356</v>
      </c>
      <c r="G393" s="13" t="s">
        <v>149</v>
      </c>
      <c r="H393" s="18" t="str">
        <f>IFERROR(INDEX('المحافظات Governorates'!$E$2:$E$151,MATCH(D393,'المحافظات Governorates'!$A$2:$A$151,0)),"")</f>
        <v>Ar-Rayn</v>
      </c>
      <c r="I393" s="18" t="str">
        <f>IFERROR(INDEX('المناطق Regions'!$C$2:$C$15,MATCH(B393,'المناطق Regions'!$A$2:$A$15,0)),"")</f>
        <v>Riyadh</v>
      </c>
      <c r="J393" s="18" t="str">
        <f>F393&amp;", "&amp;E393&amp;", Saudi Arabia"</f>
        <v>ام نخله, الرين, Saudi Arabia</v>
      </c>
      <c r="K393" s="18">
        <v>23.01605</v>
      </c>
      <c r="L393" s="18">
        <v>45.161162</v>
      </c>
      <c r="M393" s="18">
        <v>131485</v>
      </c>
      <c r="N393" s="18" t="s">
        <v>1324</v>
      </c>
    </row>
    <row r="394" ht="15" customHeight="1" spans="1:14" x14ac:dyDescent="0.25">
      <c r="A394" s="11" t="s">
        <v>1357</v>
      </c>
      <c r="B394" s="11">
        <v>1</v>
      </c>
      <c r="C394" s="12" t="s">
        <v>44</v>
      </c>
      <c r="D394" s="11" t="s">
        <v>179</v>
      </c>
      <c r="E394" s="12" t="s">
        <v>180</v>
      </c>
      <c r="F394" s="12" t="s">
        <v>1358</v>
      </c>
      <c r="G394" s="11" t="s">
        <v>149</v>
      </c>
      <c r="H394" s="18" t="str">
        <f>IFERROR(INDEX('المحافظات Governorates'!$E$2:$E$151,MATCH(D394,'المحافظات Governorates'!$A$2:$A$151,0)),"")</f>
        <v>Ar-Rayn</v>
      </c>
      <c r="I394" s="18" t="str">
        <f>IFERROR(INDEX('المناطق Regions'!$C$2:$C$15,MATCH(B394,'المناطق Regions'!$A$2:$A$15,0)),"")</f>
        <v>Riyadh</v>
      </c>
      <c r="J394" s="18" t="str">
        <f>F394&amp;", "&amp;E394&amp;", Saudi Arabia"</f>
        <v>المغزالية, الرين, Saudi Arabia</v>
      </c>
      <c r="K394" s="18">
        <v>23.61475</v>
      </c>
      <c r="L394" s="18">
        <v>45.093807</v>
      </c>
      <c r="M394" s="18">
        <v>2000</v>
      </c>
      <c r="N394" s="18" t="s">
        <v>562</v>
      </c>
    </row>
    <row r="395" ht="15" customHeight="1" spans="1:14" x14ac:dyDescent="0.25">
      <c r="A395" s="13" t="s">
        <v>1359</v>
      </c>
      <c r="B395" s="13">
        <v>1</v>
      </c>
      <c r="C395" s="14" t="s">
        <v>44</v>
      </c>
      <c r="D395" s="13" t="s">
        <v>179</v>
      </c>
      <c r="E395" s="14" t="s">
        <v>180</v>
      </c>
      <c r="F395" s="14" t="s">
        <v>1360</v>
      </c>
      <c r="G395" s="13" t="s">
        <v>149</v>
      </c>
      <c r="H395" s="18" t="str">
        <f>IFERROR(INDEX('المحافظات Governorates'!$E$2:$E$151,MATCH(D395,'المحافظات Governorates'!$A$2:$A$151,0)),"")</f>
        <v>Ar-Rayn</v>
      </c>
      <c r="I395" s="18" t="str">
        <f>IFERROR(INDEX('المناطق Regions'!$C$2:$C$15,MATCH(B395,'المناطق Regions'!$A$2:$A$15,0)),"")</f>
        <v>Riyadh</v>
      </c>
      <c r="J395" s="18" t="str">
        <f>F395&amp;", "&amp;E395&amp;", Saudi Arabia"</f>
        <v>الفوارة, الرين, Saudi Arabia</v>
      </c>
      <c r="K395" s="18">
        <v>23.266603</v>
      </c>
      <c r="L395" s="18">
        <v>45.218551</v>
      </c>
      <c r="M395" s="18">
        <v>2000</v>
      </c>
      <c r="N395" s="18" t="s">
        <v>562</v>
      </c>
    </row>
    <row r="396" ht="15" customHeight="1" spans="1:14" x14ac:dyDescent="0.25">
      <c r="A396" s="11" t="s">
        <v>1361</v>
      </c>
      <c r="B396" s="11">
        <v>1</v>
      </c>
      <c r="C396" s="12" t="s">
        <v>44</v>
      </c>
      <c r="D396" s="11" t="s">
        <v>179</v>
      </c>
      <c r="E396" s="12" t="s">
        <v>180</v>
      </c>
      <c r="F396" s="12" t="s">
        <v>1362</v>
      </c>
      <c r="G396" s="11" t="s">
        <v>149</v>
      </c>
      <c r="H396" s="18" t="str">
        <f>IFERROR(INDEX('المحافظات Governorates'!$E$2:$E$151,MATCH(D396,'المحافظات Governorates'!$A$2:$A$151,0)),"")</f>
        <v>Ar-Rayn</v>
      </c>
      <c r="I396" s="18" t="str">
        <f>IFERROR(INDEX('المناطق Regions'!$C$2:$C$15,MATCH(B396,'المناطق Regions'!$A$2:$A$15,0)),"")</f>
        <v>Riyadh</v>
      </c>
      <c r="J396" s="18" t="str">
        <f>F396&amp;", "&amp;E396&amp;", Saudi Arabia"</f>
        <v>شلاح, الرين, Saudi Arabia</v>
      </c>
      <c r="K396" s="18">
        <v>23.368768</v>
      </c>
      <c r="L396" s="18">
        <v>45.392854</v>
      </c>
      <c r="M396" s="18">
        <v>2000</v>
      </c>
      <c r="N396" s="18" t="s">
        <v>562</v>
      </c>
    </row>
    <row r="397" ht="15" customHeight="1" spans="1:14" x14ac:dyDescent="0.25">
      <c r="A397" s="13" t="s">
        <v>1363</v>
      </c>
      <c r="B397" s="13">
        <v>1</v>
      </c>
      <c r="C397" s="14" t="s">
        <v>44</v>
      </c>
      <c r="D397" s="13" t="s">
        <v>179</v>
      </c>
      <c r="E397" s="14" t="s">
        <v>180</v>
      </c>
      <c r="F397" s="14" t="s">
        <v>1364</v>
      </c>
      <c r="G397" s="13" t="s">
        <v>149</v>
      </c>
      <c r="H397" s="18" t="str">
        <f>IFERROR(INDEX('المحافظات Governorates'!$E$2:$E$151,MATCH(D397,'المحافظات Governorates'!$A$2:$A$151,0)),"")</f>
        <v>Ar-Rayn</v>
      </c>
      <c r="I397" s="18" t="str">
        <f>IFERROR(INDEX('المناطق Regions'!$C$2:$C$15,MATCH(B397,'المناطق Regions'!$A$2:$A$15,0)),"")</f>
        <v>Riyadh</v>
      </c>
      <c r="J397" s="18" t="str">
        <f>F397&amp;", "&amp;E397&amp;", Saudi Arabia"</f>
        <v>متعبة, الرين, Saudi Arabia</v>
      </c>
      <c r="K397" s="18">
        <v>23.01605</v>
      </c>
      <c r="L397" s="18">
        <v>45.161162</v>
      </c>
      <c r="M397" s="18">
        <v>131485</v>
      </c>
      <c r="N397" s="18" t="s">
        <v>1324</v>
      </c>
    </row>
    <row r="398" ht="15" customHeight="1" spans="1:14" x14ac:dyDescent="0.25">
      <c r="A398" s="11" t="s">
        <v>1365</v>
      </c>
      <c r="B398" s="11">
        <v>1</v>
      </c>
      <c r="C398" s="12" t="s">
        <v>44</v>
      </c>
      <c r="D398" s="11" t="s">
        <v>179</v>
      </c>
      <c r="E398" s="12" t="s">
        <v>180</v>
      </c>
      <c r="F398" s="12" t="s">
        <v>1366</v>
      </c>
      <c r="G398" s="11" t="s">
        <v>113</v>
      </c>
      <c r="H398" s="18" t="str">
        <f>IFERROR(INDEX('المحافظات Governorates'!$E$2:$E$151,MATCH(D398,'المحافظات Governorates'!$A$2:$A$151,0)),"")</f>
        <v>Ar-Rayn</v>
      </c>
      <c r="I398" s="18" t="str">
        <f>IFERROR(INDEX('المناطق Regions'!$C$2:$C$15,MATCH(B398,'المناطق Regions'!$A$2:$A$15,0)),"")</f>
        <v>Riyadh</v>
      </c>
      <c r="J398" s="18" t="str">
        <f>F398&amp;", "&amp;E398&amp;", Saudi Arabia"</f>
        <v>الحصاة, الرين, Saudi Arabia</v>
      </c>
      <c r="K398" s="18">
        <v>22.862562</v>
      </c>
      <c r="L398" s="18">
        <v>44.978485</v>
      </c>
      <c r="M398" s="18">
        <v>2000</v>
      </c>
      <c r="N398" s="18" t="s">
        <v>562</v>
      </c>
    </row>
    <row r="399" ht="15" customHeight="1" spans="1:14" x14ac:dyDescent="0.25">
      <c r="A399" s="13" t="s">
        <v>1367</v>
      </c>
      <c r="B399" s="13">
        <v>1</v>
      </c>
      <c r="C399" s="14" t="s">
        <v>44</v>
      </c>
      <c r="D399" s="13" t="s">
        <v>179</v>
      </c>
      <c r="E399" s="14" t="s">
        <v>180</v>
      </c>
      <c r="F399" s="14" t="s">
        <v>1368</v>
      </c>
      <c r="G399" s="13" t="s">
        <v>149</v>
      </c>
      <c r="H399" s="18" t="str">
        <f>IFERROR(INDEX('المحافظات Governorates'!$E$2:$E$151,MATCH(D399,'المحافظات Governorates'!$A$2:$A$151,0)),"")</f>
        <v>Ar-Rayn</v>
      </c>
      <c r="I399" s="18" t="str">
        <f>IFERROR(INDEX('المناطق Regions'!$C$2:$C$15,MATCH(B399,'المناطق Regions'!$A$2:$A$15,0)),"")</f>
        <v>Riyadh</v>
      </c>
      <c r="J399" s="18" t="str">
        <f>F399&amp;", "&amp;E399&amp;", Saudi Arabia"</f>
        <v>خيم الحصاة, الرين, Saudi Arabia</v>
      </c>
      <c r="K399" s="18">
        <v>23.01605</v>
      </c>
      <c r="L399" s="18">
        <v>45.161162</v>
      </c>
      <c r="M399" s="18">
        <v>131485</v>
      </c>
      <c r="N399" s="18" t="s">
        <v>1324</v>
      </c>
    </row>
    <row r="400" ht="15" customHeight="1" spans="1:14" x14ac:dyDescent="0.25">
      <c r="A400" s="11" t="s">
        <v>1369</v>
      </c>
      <c r="B400" s="11">
        <v>1</v>
      </c>
      <c r="C400" s="12" t="s">
        <v>44</v>
      </c>
      <c r="D400" s="11" t="s">
        <v>179</v>
      </c>
      <c r="E400" s="12" t="s">
        <v>180</v>
      </c>
      <c r="F400" s="12" t="s">
        <v>1370</v>
      </c>
      <c r="G400" s="11" t="s">
        <v>149</v>
      </c>
      <c r="H400" s="18" t="str">
        <f>IFERROR(INDEX('المحافظات Governorates'!$E$2:$E$151,MATCH(D400,'المحافظات Governorates'!$A$2:$A$151,0)),"")</f>
        <v>Ar-Rayn</v>
      </c>
      <c r="I400" s="18" t="str">
        <f>IFERROR(INDEX('المناطق Regions'!$C$2:$C$15,MATCH(B400,'المناطق Regions'!$A$2:$A$15,0)),"")</f>
        <v>Riyadh</v>
      </c>
      <c r="J400" s="18" t="str">
        <f>F400&amp;", "&amp;E400&amp;", Saudi Arabia"</f>
        <v>الرقميه, الرين, Saudi Arabia</v>
      </c>
      <c r="K400" s="18">
        <v>23.01605</v>
      </c>
      <c r="L400" s="18">
        <v>45.161162</v>
      </c>
      <c r="M400" s="18">
        <v>131485</v>
      </c>
      <c r="N400" s="18" t="s">
        <v>1324</v>
      </c>
    </row>
    <row r="401" ht="15" customHeight="1" spans="1:14" x14ac:dyDescent="0.25">
      <c r="A401" s="13" t="s">
        <v>1371</v>
      </c>
      <c r="B401" s="13">
        <v>1</v>
      </c>
      <c r="C401" s="14" t="s">
        <v>44</v>
      </c>
      <c r="D401" s="13" t="s">
        <v>179</v>
      </c>
      <c r="E401" s="14" t="s">
        <v>180</v>
      </c>
      <c r="F401" s="14" t="s">
        <v>1372</v>
      </c>
      <c r="G401" s="13" t="s">
        <v>149</v>
      </c>
      <c r="H401" s="18" t="str">
        <f>IFERROR(INDEX('المحافظات Governorates'!$E$2:$E$151,MATCH(D401,'المحافظات Governorates'!$A$2:$A$151,0)),"")</f>
        <v>Ar-Rayn</v>
      </c>
      <c r="I401" s="18" t="str">
        <f>IFERROR(INDEX('المناطق Regions'!$C$2:$C$15,MATCH(B401,'المناطق Regions'!$A$2:$A$15,0)),"")</f>
        <v>Riyadh</v>
      </c>
      <c r="J401" s="18" t="str">
        <f>F401&amp;", "&amp;E401&amp;", Saudi Arabia"</f>
        <v>حريملاء الحصاة, الرين, Saudi Arabia</v>
      </c>
      <c r="K401" s="18">
        <v>23.01605</v>
      </c>
      <c r="L401" s="18">
        <v>45.161162</v>
      </c>
      <c r="M401" s="18">
        <v>131485</v>
      </c>
      <c r="N401" s="18" t="s">
        <v>1324</v>
      </c>
    </row>
    <row r="402" ht="15" customHeight="1" spans="1:14" x14ac:dyDescent="0.25">
      <c r="A402" s="11" t="s">
        <v>1373</v>
      </c>
      <c r="B402" s="11">
        <v>1</v>
      </c>
      <c r="C402" s="12" t="s">
        <v>44</v>
      </c>
      <c r="D402" s="11" t="s">
        <v>179</v>
      </c>
      <c r="E402" s="12" t="s">
        <v>180</v>
      </c>
      <c r="F402" s="12" t="s">
        <v>1374</v>
      </c>
      <c r="G402" s="11" t="s">
        <v>149</v>
      </c>
      <c r="H402" s="18" t="str">
        <f>IFERROR(INDEX('المحافظات Governorates'!$E$2:$E$151,MATCH(D402,'المحافظات Governorates'!$A$2:$A$151,0)),"")</f>
        <v>Ar-Rayn</v>
      </c>
      <c r="I402" s="18" t="str">
        <f>IFERROR(INDEX('المناطق Regions'!$C$2:$C$15,MATCH(B402,'المناطق Regions'!$A$2:$A$15,0)),"")</f>
        <v>Riyadh</v>
      </c>
      <c r="J402" s="18" t="str">
        <f>F402&amp;", "&amp;E402&amp;", Saudi Arabia"</f>
        <v>جاحد, الرين, Saudi Arabia</v>
      </c>
      <c r="K402" s="18">
        <v>22.552721</v>
      </c>
      <c r="L402" s="18">
        <v>44.343798</v>
      </c>
      <c r="M402" s="18">
        <v>2000</v>
      </c>
      <c r="N402" s="18" t="s">
        <v>562</v>
      </c>
    </row>
    <row r="403" ht="15" customHeight="1" spans="1:14" x14ac:dyDescent="0.25">
      <c r="A403" s="13" t="s">
        <v>1375</v>
      </c>
      <c r="B403" s="13">
        <v>1</v>
      </c>
      <c r="C403" s="14" t="s">
        <v>44</v>
      </c>
      <c r="D403" s="13" t="s">
        <v>179</v>
      </c>
      <c r="E403" s="14" t="s">
        <v>180</v>
      </c>
      <c r="F403" s="14" t="s">
        <v>1376</v>
      </c>
      <c r="G403" s="13" t="s">
        <v>149</v>
      </c>
      <c r="H403" s="18" t="str">
        <f>IFERROR(INDEX('المحافظات Governorates'!$E$2:$E$151,MATCH(D403,'المحافظات Governorates'!$A$2:$A$151,0)),"")</f>
        <v>Ar-Rayn</v>
      </c>
      <c r="I403" s="18" t="str">
        <f>IFERROR(INDEX('المناطق Regions'!$C$2:$C$15,MATCH(B403,'المناطق Regions'!$A$2:$A$15,0)),"")</f>
        <v>Riyadh</v>
      </c>
      <c r="J403" s="18" t="str">
        <f>F403&amp;", "&amp;E403&amp;", Saudi Arabia"</f>
        <v>حفيرة صماخ, الرين, Saudi Arabia</v>
      </c>
      <c r="K403" s="18">
        <v>23.01605</v>
      </c>
      <c r="L403" s="18">
        <v>45.161162</v>
      </c>
      <c r="M403" s="18">
        <v>131485</v>
      </c>
      <c r="N403" s="18" t="s">
        <v>1324</v>
      </c>
    </row>
    <row r="404" ht="15" customHeight="1" spans="1:14" x14ac:dyDescent="0.25">
      <c r="A404" s="11" t="s">
        <v>1377</v>
      </c>
      <c r="B404" s="11">
        <v>1</v>
      </c>
      <c r="C404" s="12" t="s">
        <v>44</v>
      </c>
      <c r="D404" s="11" t="s">
        <v>179</v>
      </c>
      <c r="E404" s="12" t="s">
        <v>180</v>
      </c>
      <c r="F404" s="12" t="s">
        <v>1378</v>
      </c>
      <c r="G404" s="11" t="s">
        <v>149</v>
      </c>
      <c r="H404" s="18" t="str">
        <f>IFERROR(INDEX('المحافظات Governorates'!$E$2:$E$151,MATCH(D404,'المحافظات Governorates'!$A$2:$A$151,0)),"")</f>
        <v>Ar-Rayn</v>
      </c>
      <c r="I404" s="18" t="str">
        <f>IFERROR(INDEX('المناطق Regions'!$C$2:$C$15,MATCH(B404,'المناطق Regions'!$A$2:$A$15,0)),"")</f>
        <v>Riyadh</v>
      </c>
      <c r="J404" s="18" t="str">
        <f>F404&amp;", "&amp;E404&amp;", Saudi Arabia"</f>
        <v>أم سلم, الرين, Saudi Arabia</v>
      </c>
      <c r="K404" s="18">
        <v>23.01605</v>
      </c>
      <c r="L404" s="18">
        <v>45.161162</v>
      </c>
      <c r="M404" s="18">
        <v>131485</v>
      </c>
      <c r="N404" s="18" t="s">
        <v>1324</v>
      </c>
    </row>
    <row r="405" ht="15" customHeight="1" spans="1:14" x14ac:dyDescent="0.25">
      <c r="A405" s="13" t="s">
        <v>1379</v>
      </c>
      <c r="B405" s="13">
        <v>1</v>
      </c>
      <c r="C405" s="14" t="s">
        <v>44</v>
      </c>
      <c r="D405" s="13" t="s">
        <v>179</v>
      </c>
      <c r="E405" s="14" t="s">
        <v>180</v>
      </c>
      <c r="F405" s="14" t="s">
        <v>1380</v>
      </c>
      <c r="G405" s="13" t="s">
        <v>149</v>
      </c>
      <c r="H405" s="18" t="str">
        <f>IFERROR(INDEX('المحافظات Governorates'!$E$2:$E$151,MATCH(D405,'المحافظات Governorates'!$A$2:$A$151,0)),"")</f>
        <v>Ar-Rayn</v>
      </c>
      <c r="I405" s="18" t="str">
        <f>IFERROR(INDEX('المناطق Regions'!$C$2:$C$15,MATCH(B405,'المناطق Regions'!$A$2:$A$15,0)),"")</f>
        <v>Riyadh</v>
      </c>
      <c r="J405" s="18" t="str">
        <f>F405&amp;", "&amp;E405&amp;", Saudi Arabia"</f>
        <v>الهفوف, الرين, Saudi Arabia</v>
      </c>
      <c r="K405" s="18">
        <v>23.01605</v>
      </c>
      <c r="L405" s="18">
        <v>45.161162</v>
      </c>
      <c r="M405" s="18">
        <v>131485</v>
      </c>
      <c r="N405" s="18" t="s">
        <v>1324</v>
      </c>
    </row>
    <row r="406" ht="15" customHeight="1" spans="1:14" x14ac:dyDescent="0.25">
      <c r="A406" s="11" t="s">
        <v>1381</v>
      </c>
      <c r="B406" s="11">
        <v>1</v>
      </c>
      <c r="C406" s="12" t="s">
        <v>44</v>
      </c>
      <c r="D406" s="11" t="s">
        <v>179</v>
      </c>
      <c r="E406" s="12" t="s">
        <v>180</v>
      </c>
      <c r="F406" s="12" t="s">
        <v>1382</v>
      </c>
      <c r="G406" s="11" t="s">
        <v>149</v>
      </c>
      <c r="H406" s="18" t="str">
        <f>IFERROR(INDEX('المحافظات Governorates'!$E$2:$E$151,MATCH(D406,'المحافظات Governorates'!$A$2:$A$151,0)),"")</f>
        <v>Ar-Rayn</v>
      </c>
      <c r="I406" s="18" t="str">
        <f>IFERROR(INDEX('المناطق Regions'!$C$2:$C$15,MATCH(B406,'المناطق Regions'!$A$2:$A$15,0)),"")</f>
        <v>Riyadh</v>
      </c>
      <c r="J406" s="18" t="str">
        <f>F406&amp;", "&amp;E406&amp;", Saudi Arabia"</f>
        <v>الرفايع بالرين, الرين, Saudi Arabia</v>
      </c>
      <c r="K406" s="18">
        <v>23.01605</v>
      </c>
      <c r="L406" s="18">
        <v>45.161162</v>
      </c>
      <c r="M406" s="18">
        <v>131485</v>
      </c>
      <c r="N406" s="18" t="s">
        <v>1324</v>
      </c>
    </row>
    <row r="407" ht="15" customHeight="1" spans="1:14" x14ac:dyDescent="0.25">
      <c r="A407" s="13" t="s">
        <v>1383</v>
      </c>
      <c r="B407" s="13">
        <v>1</v>
      </c>
      <c r="C407" s="14" t="s">
        <v>44</v>
      </c>
      <c r="D407" s="13" t="s">
        <v>179</v>
      </c>
      <c r="E407" s="14" t="s">
        <v>180</v>
      </c>
      <c r="F407" s="14" t="s">
        <v>1384</v>
      </c>
      <c r="G407" s="13" t="s">
        <v>113</v>
      </c>
      <c r="H407" s="18" t="str">
        <f>IFERROR(INDEX('المحافظات Governorates'!$E$2:$E$151,MATCH(D407,'المحافظات Governorates'!$A$2:$A$151,0)),"")</f>
        <v>Ar-Rayn</v>
      </c>
      <c r="I407" s="18" t="str">
        <f>IFERROR(INDEX('المناطق Regions'!$C$2:$C$15,MATCH(B407,'المناطق Regions'!$A$2:$A$15,0)),"")</f>
        <v>Riyadh</v>
      </c>
      <c r="J407" s="18" t="str">
        <f>F407&amp;", "&amp;E407&amp;", Saudi Arabia"</f>
        <v>الرجع بالرين, الرين, Saudi Arabia</v>
      </c>
      <c r="K407" s="18">
        <v>23.01605</v>
      </c>
      <c r="L407" s="18">
        <v>45.161162</v>
      </c>
      <c r="M407" s="18">
        <v>131485</v>
      </c>
      <c r="N407" s="18" t="s">
        <v>1324</v>
      </c>
    </row>
    <row r="408" ht="15" customHeight="1" spans="1:14" x14ac:dyDescent="0.25">
      <c r="A408" s="11" t="s">
        <v>1385</v>
      </c>
      <c r="B408" s="11">
        <v>1</v>
      </c>
      <c r="C408" s="12" t="s">
        <v>44</v>
      </c>
      <c r="D408" s="11" t="s">
        <v>179</v>
      </c>
      <c r="E408" s="12" t="s">
        <v>180</v>
      </c>
      <c r="F408" s="12" t="s">
        <v>1386</v>
      </c>
      <c r="G408" s="11" t="s">
        <v>113</v>
      </c>
      <c r="H408" s="18" t="str">
        <f>IFERROR(INDEX('المحافظات Governorates'!$E$2:$E$151,MATCH(D408,'المحافظات Governorates'!$A$2:$A$151,0)),"")</f>
        <v>Ar-Rayn</v>
      </c>
      <c r="I408" s="18" t="str">
        <f>IFERROR(INDEX('المناطق Regions'!$C$2:$C$15,MATCH(B408,'المناطق Regions'!$A$2:$A$15,0)),"")</f>
        <v>Riyadh</v>
      </c>
      <c r="J408" s="18" t="str">
        <f>F408&amp;", "&amp;E408&amp;", Saudi Arabia"</f>
        <v>العفج بالرين, الرين, Saudi Arabia</v>
      </c>
      <c r="K408" s="18">
        <v>23.01605</v>
      </c>
      <c r="L408" s="18">
        <v>45.161162</v>
      </c>
      <c r="M408" s="18">
        <v>131485</v>
      </c>
      <c r="N408" s="18" t="s">
        <v>1324</v>
      </c>
    </row>
    <row r="409" ht="15" customHeight="1" spans="1:14" x14ac:dyDescent="0.25">
      <c r="A409" s="13" t="s">
        <v>1387</v>
      </c>
      <c r="B409" s="13">
        <v>1</v>
      </c>
      <c r="C409" s="14" t="s">
        <v>44</v>
      </c>
      <c r="D409" s="13" t="s">
        <v>179</v>
      </c>
      <c r="E409" s="14" t="s">
        <v>180</v>
      </c>
      <c r="F409" s="14" t="s">
        <v>1388</v>
      </c>
      <c r="G409" s="13" t="s">
        <v>149</v>
      </c>
      <c r="H409" s="18" t="str">
        <f>IFERROR(INDEX('المحافظات Governorates'!$E$2:$E$151,MATCH(D409,'المحافظات Governorates'!$A$2:$A$151,0)),"")</f>
        <v>Ar-Rayn</v>
      </c>
      <c r="I409" s="18" t="str">
        <f>IFERROR(INDEX('المناطق Regions'!$C$2:$C$15,MATCH(B409,'المناطق Regions'!$A$2:$A$15,0)),"")</f>
        <v>Riyadh</v>
      </c>
      <c r="J409" s="18" t="str">
        <f>F409&amp;", "&amp;E409&amp;", Saudi Arabia"</f>
        <v>لجع, الرين, Saudi Arabia</v>
      </c>
      <c r="K409" s="18">
        <v>23.247915</v>
      </c>
      <c r="L409" s="18">
        <v>45.562109</v>
      </c>
      <c r="M409" s="18">
        <v>2000</v>
      </c>
      <c r="N409" s="18" t="s">
        <v>562</v>
      </c>
    </row>
    <row r="410" ht="15" customHeight="1" spans="1:14" x14ac:dyDescent="0.25">
      <c r="A410" s="11" t="s">
        <v>1389</v>
      </c>
      <c r="B410" s="11">
        <v>1</v>
      </c>
      <c r="C410" s="12" t="s">
        <v>44</v>
      </c>
      <c r="D410" s="11" t="s">
        <v>179</v>
      </c>
      <c r="E410" s="12" t="s">
        <v>180</v>
      </c>
      <c r="F410" s="12" t="s">
        <v>1390</v>
      </c>
      <c r="G410" s="11" t="s">
        <v>113</v>
      </c>
      <c r="H410" s="18" t="str">
        <f>IFERROR(INDEX('المحافظات Governorates'!$E$2:$E$151,MATCH(D410,'المحافظات Governorates'!$A$2:$A$151,0)),"")</f>
        <v>Ar-Rayn</v>
      </c>
      <c r="I410" s="18" t="str">
        <f>IFERROR(INDEX('المناطق Regions'!$C$2:$C$15,MATCH(B410,'المناطق Regions'!$A$2:$A$15,0)),"")</f>
        <v>Riyadh</v>
      </c>
      <c r="J410" s="18" t="str">
        <f>F410&amp;", "&amp;E410&amp;", Saudi Arabia"</f>
        <v>العمق, الرين, Saudi Arabia</v>
      </c>
      <c r="K410" s="18">
        <v>23.229864</v>
      </c>
      <c r="L410" s="18">
        <v>45.543368</v>
      </c>
      <c r="M410" s="18">
        <v>2000</v>
      </c>
      <c r="N410" s="18" t="s">
        <v>562</v>
      </c>
    </row>
    <row r="411" ht="15" customHeight="1" spans="1:14" x14ac:dyDescent="0.25">
      <c r="A411" s="13" t="s">
        <v>1391</v>
      </c>
      <c r="B411" s="13">
        <v>1</v>
      </c>
      <c r="C411" s="14" t="s">
        <v>44</v>
      </c>
      <c r="D411" s="13" t="s">
        <v>179</v>
      </c>
      <c r="E411" s="14" t="s">
        <v>180</v>
      </c>
      <c r="F411" s="14" t="s">
        <v>1392</v>
      </c>
      <c r="G411" s="13" t="s">
        <v>149</v>
      </c>
      <c r="H411" s="18" t="str">
        <f>IFERROR(INDEX('المحافظات Governorates'!$E$2:$E$151,MATCH(D411,'المحافظات Governorates'!$A$2:$A$151,0)),"")</f>
        <v>Ar-Rayn</v>
      </c>
      <c r="I411" s="18" t="str">
        <f>IFERROR(INDEX('المناطق Regions'!$C$2:$C$15,MATCH(B411,'المناطق Regions'!$A$2:$A$15,0)),"")</f>
        <v>Riyadh</v>
      </c>
      <c r="J411" s="18" t="str">
        <f>F411&amp;", "&amp;E411&amp;", Saudi Arabia"</f>
        <v>حفاير الوهوهي, الرين, Saudi Arabia</v>
      </c>
      <c r="K411" s="18">
        <v>23.01605</v>
      </c>
      <c r="L411" s="18">
        <v>45.161162</v>
      </c>
      <c r="M411" s="18">
        <v>131485</v>
      </c>
      <c r="N411" s="18" t="s">
        <v>1324</v>
      </c>
    </row>
    <row r="412" ht="15" customHeight="1" spans="1:14" x14ac:dyDescent="0.25">
      <c r="A412" s="11" t="s">
        <v>1393</v>
      </c>
      <c r="B412" s="11">
        <v>1</v>
      </c>
      <c r="C412" s="12" t="s">
        <v>44</v>
      </c>
      <c r="D412" s="11" t="s">
        <v>179</v>
      </c>
      <c r="E412" s="12" t="s">
        <v>180</v>
      </c>
      <c r="F412" s="12" t="s">
        <v>1394</v>
      </c>
      <c r="G412" s="11" t="s">
        <v>149</v>
      </c>
      <c r="H412" s="18" t="str">
        <f>IFERROR(INDEX('المحافظات Governorates'!$E$2:$E$151,MATCH(D412,'المحافظات Governorates'!$A$2:$A$151,0)),"")</f>
        <v>Ar-Rayn</v>
      </c>
      <c r="I412" s="18" t="str">
        <f>IFERROR(INDEX('المناطق Regions'!$C$2:$C$15,MATCH(B412,'المناطق Regions'!$A$2:$A$15,0)),"")</f>
        <v>Riyadh</v>
      </c>
      <c r="J412" s="18" t="str">
        <f>F412&amp;", "&amp;E412&amp;", Saudi Arabia"</f>
        <v>ذعيفان, الرين, Saudi Arabia</v>
      </c>
      <c r="K412" s="18">
        <v>22.982441</v>
      </c>
      <c r="L412" s="18">
        <v>45.444764</v>
      </c>
      <c r="M412" s="18">
        <v>2000</v>
      </c>
      <c r="N412" s="18" t="s">
        <v>562</v>
      </c>
    </row>
    <row r="413" ht="15" customHeight="1" spans="1:14" x14ac:dyDescent="0.25">
      <c r="A413" s="13" t="s">
        <v>1395</v>
      </c>
      <c r="B413" s="13">
        <v>1</v>
      </c>
      <c r="C413" s="14" t="s">
        <v>44</v>
      </c>
      <c r="D413" s="13" t="s">
        <v>179</v>
      </c>
      <c r="E413" s="14" t="s">
        <v>180</v>
      </c>
      <c r="F413" s="14" t="s">
        <v>1396</v>
      </c>
      <c r="G413" s="13" t="s">
        <v>149</v>
      </c>
      <c r="H413" s="18" t="str">
        <f>IFERROR(INDEX('المحافظات Governorates'!$E$2:$E$151,MATCH(D413,'المحافظات Governorates'!$A$2:$A$151,0)),"")</f>
        <v>Ar-Rayn</v>
      </c>
      <c r="I413" s="18" t="str">
        <f>IFERROR(INDEX('المناطق Regions'!$C$2:$C$15,MATCH(B413,'المناطق Regions'!$A$2:$A$15,0)),"")</f>
        <v>Riyadh</v>
      </c>
      <c r="J413" s="18" t="str">
        <f>F413&amp;", "&amp;E413&amp;", Saudi Arabia"</f>
        <v>حميمان, الرين, Saudi Arabia</v>
      </c>
      <c r="K413" s="18">
        <v>22.830876</v>
      </c>
      <c r="L413" s="18">
        <v>45.538418</v>
      </c>
      <c r="M413" s="18">
        <v>2000</v>
      </c>
      <c r="N413" s="18" t="s">
        <v>562</v>
      </c>
    </row>
    <row r="414" ht="15" customHeight="1" spans="1:14" x14ac:dyDescent="0.25">
      <c r="A414" s="11" t="s">
        <v>1397</v>
      </c>
      <c r="B414" s="11">
        <v>1</v>
      </c>
      <c r="C414" s="12" t="s">
        <v>44</v>
      </c>
      <c r="D414" s="11" t="s">
        <v>179</v>
      </c>
      <c r="E414" s="12" t="s">
        <v>180</v>
      </c>
      <c r="F414" s="12" t="s">
        <v>1398</v>
      </c>
      <c r="G414" s="11" t="s">
        <v>149</v>
      </c>
      <c r="H414" s="18" t="str">
        <f>IFERROR(INDEX('المحافظات Governorates'!$E$2:$E$151,MATCH(D414,'المحافظات Governorates'!$A$2:$A$151,0)),"")</f>
        <v>Ar-Rayn</v>
      </c>
      <c r="I414" s="18" t="str">
        <f>IFERROR(INDEX('المناطق Regions'!$C$2:$C$15,MATCH(B414,'المناطق Regions'!$A$2:$A$15,0)),"")</f>
        <v>Riyadh</v>
      </c>
      <c r="J414" s="18" t="str">
        <f>F414&amp;", "&amp;E414&amp;", Saudi Arabia"</f>
        <v>عيينان, الرين, Saudi Arabia</v>
      </c>
      <c r="K414" s="18">
        <v>23.01605</v>
      </c>
      <c r="L414" s="18">
        <v>45.161162</v>
      </c>
      <c r="M414" s="18">
        <v>131485</v>
      </c>
      <c r="N414" s="18" t="s">
        <v>1324</v>
      </c>
    </row>
    <row r="415" ht="15" customHeight="1" spans="1:14" x14ac:dyDescent="0.25">
      <c r="A415" s="13" t="s">
        <v>1399</v>
      </c>
      <c r="B415" s="13">
        <v>1</v>
      </c>
      <c r="C415" s="14" t="s">
        <v>44</v>
      </c>
      <c r="D415" s="13" t="s">
        <v>179</v>
      </c>
      <c r="E415" s="14" t="s">
        <v>180</v>
      </c>
      <c r="F415" s="14" t="s">
        <v>1400</v>
      </c>
      <c r="G415" s="13" t="s">
        <v>149</v>
      </c>
      <c r="H415" s="18" t="str">
        <f>IFERROR(INDEX('المحافظات Governorates'!$E$2:$E$151,MATCH(D415,'المحافظات Governorates'!$A$2:$A$151,0)),"")</f>
        <v>Ar-Rayn</v>
      </c>
      <c r="I415" s="18" t="str">
        <f>IFERROR(INDEX('المناطق Regions'!$C$2:$C$15,MATCH(B415,'المناطق Regions'!$A$2:$A$15,0)),"")</f>
        <v>Riyadh</v>
      </c>
      <c r="J415" s="18" t="str">
        <f>F415&amp;", "&amp;E415&amp;", Saudi Arabia"</f>
        <v>المليحه الطويله, الرين, Saudi Arabia</v>
      </c>
      <c r="K415" s="18">
        <v>23.01605</v>
      </c>
      <c r="L415" s="18">
        <v>45.161162</v>
      </c>
      <c r="M415" s="18">
        <v>131485</v>
      </c>
      <c r="N415" s="18" t="s">
        <v>1324</v>
      </c>
    </row>
    <row r="416" ht="15" customHeight="1" spans="1:14" x14ac:dyDescent="0.25">
      <c r="A416" s="11" t="s">
        <v>1401</v>
      </c>
      <c r="B416" s="11">
        <v>1</v>
      </c>
      <c r="C416" s="12" t="s">
        <v>44</v>
      </c>
      <c r="D416" s="11" t="s">
        <v>179</v>
      </c>
      <c r="E416" s="12" t="s">
        <v>180</v>
      </c>
      <c r="F416" s="12" t="s">
        <v>1402</v>
      </c>
      <c r="G416" s="11" t="s">
        <v>149</v>
      </c>
      <c r="H416" s="18" t="str">
        <f>IFERROR(INDEX('المحافظات Governorates'!$E$2:$E$151,MATCH(D416,'المحافظات Governorates'!$A$2:$A$151,0)),"")</f>
        <v>Ar-Rayn</v>
      </c>
      <c r="I416" s="18" t="str">
        <f>IFERROR(INDEX('المناطق Regions'!$C$2:$C$15,MATCH(B416,'المناطق Regions'!$A$2:$A$15,0)),"")</f>
        <v>Riyadh</v>
      </c>
      <c r="J416" s="18" t="str">
        <f>F416&amp;", "&amp;E416&amp;", Saudi Arabia"</f>
        <v>هجرة عشق, الرين, Saudi Arabia</v>
      </c>
      <c r="K416" s="18">
        <v>23.01605</v>
      </c>
      <c r="L416" s="18">
        <v>45.161162</v>
      </c>
      <c r="M416" s="18">
        <v>131485</v>
      </c>
      <c r="N416" s="18" t="s">
        <v>1324</v>
      </c>
    </row>
    <row r="417" ht="15" customHeight="1" spans="1:14" x14ac:dyDescent="0.25">
      <c r="A417" s="13" t="s">
        <v>1403</v>
      </c>
      <c r="B417" s="13">
        <v>1</v>
      </c>
      <c r="C417" s="14" t="s">
        <v>44</v>
      </c>
      <c r="D417" s="13" t="s">
        <v>179</v>
      </c>
      <c r="E417" s="14" t="s">
        <v>180</v>
      </c>
      <c r="F417" s="14" t="s">
        <v>1404</v>
      </c>
      <c r="G417" s="13" t="s">
        <v>149</v>
      </c>
      <c r="H417" s="18" t="str">
        <f>IFERROR(INDEX('المحافظات Governorates'!$E$2:$E$151,MATCH(D417,'المحافظات Governorates'!$A$2:$A$151,0)),"")</f>
        <v>Ar-Rayn</v>
      </c>
      <c r="I417" s="18" t="str">
        <f>IFERROR(INDEX('المناطق Regions'!$C$2:$C$15,MATCH(B417,'المناطق Regions'!$A$2:$A$15,0)),"")</f>
        <v>Riyadh</v>
      </c>
      <c r="J417" s="18" t="str">
        <f>F417&amp;", "&amp;E417&amp;", Saudi Arabia"</f>
        <v>المجذميه, الرين, Saudi Arabia</v>
      </c>
      <c r="K417" s="18">
        <v>23.01605</v>
      </c>
      <c r="L417" s="18">
        <v>45.161162</v>
      </c>
      <c r="M417" s="18">
        <v>131485</v>
      </c>
      <c r="N417" s="18" t="s">
        <v>1324</v>
      </c>
    </row>
    <row r="418" ht="15" customHeight="1" spans="1:14" x14ac:dyDescent="0.25">
      <c r="A418" s="11" t="s">
        <v>1405</v>
      </c>
      <c r="B418" s="11">
        <v>1</v>
      </c>
      <c r="C418" s="12" t="s">
        <v>44</v>
      </c>
      <c r="D418" s="11" t="s">
        <v>179</v>
      </c>
      <c r="E418" s="12" t="s">
        <v>180</v>
      </c>
      <c r="F418" s="12" t="s">
        <v>1406</v>
      </c>
      <c r="G418" s="11" t="s">
        <v>149</v>
      </c>
      <c r="H418" s="18" t="str">
        <f>IFERROR(INDEX('المحافظات Governorates'!$E$2:$E$151,MATCH(D418,'المحافظات Governorates'!$A$2:$A$151,0)),"")</f>
        <v>Ar-Rayn</v>
      </c>
      <c r="I418" s="18" t="str">
        <f>IFERROR(INDEX('المناطق Regions'!$C$2:$C$15,MATCH(B418,'المناطق Regions'!$A$2:$A$15,0)),"")</f>
        <v>Riyadh</v>
      </c>
      <c r="J418" s="18" t="str">
        <f>F418&amp;", "&amp;E418&amp;", Saudi Arabia"</f>
        <v>الحصاة القصوى, الرين, Saudi Arabia</v>
      </c>
      <c r="K418" s="18">
        <v>23.01605</v>
      </c>
      <c r="L418" s="18">
        <v>45.161162</v>
      </c>
      <c r="M418" s="18">
        <v>131485</v>
      </c>
      <c r="N418" s="18" t="s">
        <v>1324</v>
      </c>
    </row>
    <row r="419" ht="15" customHeight="1" spans="1:14" x14ac:dyDescent="0.25">
      <c r="A419" s="13" t="s">
        <v>1407</v>
      </c>
      <c r="B419" s="13">
        <v>2</v>
      </c>
      <c r="C419" s="14" t="s">
        <v>47</v>
      </c>
      <c r="D419" s="13" t="s">
        <v>182</v>
      </c>
      <c r="E419" s="14" t="s">
        <v>47</v>
      </c>
      <c r="F419" s="14" t="s">
        <v>1408</v>
      </c>
      <c r="G419" s="13" t="s">
        <v>113</v>
      </c>
      <c r="H419" s="18" t="str">
        <f>IFERROR(INDEX('المحافظات Governorates'!$E$2:$E$151,MATCH(D419,'المحافظات Governorates'!$A$2:$A$151,0)),"")</f>
        <v>Makkah Al-Mukarramah</v>
      </c>
      <c r="I419" s="18" t="str">
        <f>IFERROR(INDEX('المناطق Regions'!$C$2:$C$15,MATCH(B419,'المناطق Regions'!$A$2:$A$15,0)),"")</f>
        <v>Makkah Al-Mukarramah</v>
      </c>
      <c r="J419" s="18" t="str">
        <f>F419&amp;", "&amp;E419&amp;", Saudi Arabia"</f>
        <v>المضيق, مكة المكرمة, Saudi Arabia</v>
      </c>
      <c r="K419" s="18">
        <v>21.678581</v>
      </c>
      <c r="L419" s="18">
        <v>40.133401</v>
      </c>
      <c r="M419" s="18">
        <v>2000</v>
      </c>
      <c r="N419" s="18" t="s">
        <v>562</v>
      </c>
    </row>
    <row r="420" ht="15" customHeight="1" spans="1:14" x14ac:dyDescent="0.25">
      <c r="A420" s="11" t="s">
        <v>1409</v>
      </c>
      <c r="B420" s="11">
        <v>2</v>
      </c>
      <c r="C420" s="12" t="s">
        <v>47</v>
      </c>
      <c r="D420" s="11" t="s">
        <v>182</v>
      </c>
      <c r="E420" s="12" t="s">
        <v>47</v>
      </c>
      <c r="F420" s="12" t="s">
        <v>1410</v>
      </c>
      <c r="G420" s="11" t="s">
        <v>113</v>
      </c>
      <c r="H420" s="18" t="str">
        <f>IFERROR(INDEX('المحافظات Governorates'!$E$2:$E$151,MATCH(D420,'المحافظات Governorates'!$A$2:$A$151,0)),"")</f>
        <v>Makkah Al-Mukarramah</v>
      </c>
      <c r="I420" s="18" t="str">
        <f>IFERROR(INDEX('المناطق Regions'!$C$2:$C$15,MATCH(B420,'المناطق Regions'!$A$2:$A$15,0)),"")</f>
        <v>Makkah Al-Mukarramah</v>
      </c>
      <c r="J420" s="18" t="str">
        <f>F420&amp;", "&amp;E420&amp;", Saudi Arabia"</f>
        <v>الزيمه, مكة المكرمة, Saudi Arabia</v>
      </c>
      <c r="K420" s="18">
        <v>21.617429</v>
      </c>
      <c r="L420" s="18">
        <v>40.111482</v>
      </c>
      <c r="M420" s="18">
        <v>2000</v>
      </c>
      <c r="N420" s="18" t="s">
        <v>562</v>
      </c>
    </row>
    <row r="421" ht="15" customHeight="1" spans="1:14" x14ac:dyDescent="0.25">
      <c r="A421" s="13" t="s">
        <v>1411</v>
      </c>
      <c r="B421" s="13">
        <v>2</v>
      </c>
      <c r="C421" s="14" t="s">
        <v>47</v>
      </c>
      <c r="D421" s="13" t="s">
        <v>182</v>
      </c>
      <c r="E421" s="14" t="s">
        <v>47</v>
      </c>
      <c r="F421" s="14" t="s">
        <v>1412</v>
      </c>
      <c r="G421" s="13" t="s">
        <v>149</v>
      </c>
      <c r="H421" s="18" t="str">
        <f>IFERROR(INDEX('المحافظات Governorates'!$E$2:$E$151,MATCH(D421,'المحافظات Governorates'!$A$2:$A$151,0)),"")</f>
        <v>Makkah Al-Mukarramah</v>
      </c>
      <c r="I421" s="18" t="str">
        <f>IFERROR(INDEX('المناطق Regions'!$C$2:$C$15,MATCH(B421,'المناطق Regions'!$A$2:$A$15,0)),"")</f>
        <v>Makkah Al-Mukarramah</v>
      </c>
      <c r="J421" s="18" t="str">
        <f>F421&amp;", "&amp;E421&amp;", Saudi Arabia"</f>
        <v>المطارفه, مكة المكرمة, Saudi Arabia</v>
      </c>
      <c r="K421" s="18">
        <v>21.44719</v>
      </c>
      <c r="L421" s="18">
        <v>39.988812</v>
      </c>
      <c r="M421" s="18">
        <v>64350</v>
      </c>
      <c r="N421" s="18" t="s">
        <v>1413</v>
      </c>
    </row>
    <row r="422" ht="15" customHeight="1" spans="1:14" x14ac:dyDescent="0.25">
      <c r="A422" s="11" t="s">
        <v>1414</v>
      </c>
      <c r="B422" s="11">
        <v>2</v>
      </c>
      <c r="C422" s="12" t="s">
        <v>47</v>
      </c>
      <c r="D422" s="11" t="s">
        <v>182</v>
      </c>
      <c r="E422" s="12" t="s">
        <v>47</v>
      </c>
      <c r="F422" s="12" t="s">
        <v>1415</v>
      </c>
      <c r="G422" s="11" t="s">
        <v>113</v>
      </c>
      <c r="H422" s="18" t="str">
        <f>IFERROR(INDEX('المحافظات Governorates'!$E$2:$E$151,MATCH(D422,'المحافظات Governorates'!$A$2:$A$151,0)),"")</f>
        <v>Makkah Al-Mukarramah</v>
      </c>
      <c r="I422" s="18" t="str">
        <f>IFERROR(INDEX('المناطق Regions'!$C$2:$C$15,MATCH(B422,'المناطق Regions'!$A$2:$A$15,0)),"")</f>
        <v>Makkah Al-Mukarramah</v>
      </c>
      <c r="J422" s="18" t="str">
        <f>F422&amp;", "&amp;E422&amp;", Saudi Arabia"</f>
        <v>جعرانه, مكة المكرمة, Saudi Arabia</v>
      </c>
      <c r="K422" s="18">
        <v>21.560399</v>
      </c>
      <c r="L422" s="18">
        <v>39.956588</v>
      </c>
      <c r="M422" s="18">
        <v>2000</v>
      </c>
      <c r="N422" s="18" t="s">
        <v>562</v>
      </c>
    </row>
    <row r="423" ht="15" customHeight="1" spans="1:14" x14ac:dyDescent="0.25">
      <c r="A423" s="13" t="s">
        <v>1416</v>
      </c>
      <c r="B423" s="13">
        <v>2</v>
      </c>
      <c r="C423" s="14" t="s">
        <v>47</v>
      </c>
      <c r="D423" s="13" t="s">
        <v>182</v>
      </c>
      <c r="E423" s="14" t="s">
        <v>47</v>
      </c>
      <c r="F423" s="14" t="s">
        <v>1417</v>
      </c>
      <c r="G423" s="13" t="s">
        <v>113</v>
      </c>
      <c r="H423" s="18" t="str">
        <f>IFERROR(INDEX('المحافظات Governorates'!$E$2:$E$151,MATCH(D423,'المحافظات Governorates'!$A$2:$A$151,0)),"")</f>
        <v>Makkah Al-Mukarramah</v>
      </c>
      <c r="I423" s="18" t="str">
        <f>IFERROR(INDEX('المناطق Regions'!$C$2:$C$15,MATCH(B423,'المناطق Regions'!$A$2:$A$15,0)),"")</f>
        <v>Makkah Al-Mukarramah</v>
      </c>
      <c r="J423" s="18" t="str">
        <f>F423&amp;", "&amp;E423&amp;", Saudi Arabia"</f>
        <v>البجيدي, مكة المكرمة, Saudi Arabia</v>
      </c>
      <c r="K423" s="18">
        <v>21.480044</v>
      </c>
      <c r="L423" s="18">
        <v>40.109491</v>
      </c>
      <c r="M423" s="18">
        <v>2000</v>
      </c>
      <c r="N423" s="18" t="s">
        <v>562</v>
      </c>
    </row>
    <row r="424" ht="15" customHeight="1" spans="1:14" x14ac:dyDescent="0.25">
      <c r="A424" s="11" t="s">
        <v>1418</v>
      </c>
      <c r="B424" s="11">
        <v>2</v>
      </c>
      <c r="C424" s="12" t="s">
        <v>47</v>
      </c>
      <c r="D424" s="11" t="s">
        <v>182</v>
      </c>
      <c r="E424" s="12" t="s">
        <v>47</v>
      </c>
      <c r="F424" s="12" t="s">
        <v>1419</v>
      </c>
      <c r="G424" s="11" t="s">
        <v>149</v>
      </c>
      <c r="H424" s="18" t="str">
        <f>IFERROR(INDEX('المحافظات Governorates'!$E$2:$E$151,MATCH(D424,'المحافظات Governorates'!$A$2:$A$151,0)),"")</f>
        <v>Makkah Al-Mukarramah</v>
      </c>
      <c r="I424" s="18" t="str">
        <f>IFERROR(INDEX('المناطق Regions'!$C$2:$C$15,MATCH(B424,'المناطق Regions'!$A$2:$A$15,0)),"")</f>
        <v>Makkah Al-Mukarramah</v>
      </c>
      <c r="J424" s="18" t="str">
        <f>F424&amp;", "&amp;E424&amp;", Saudi Arabia"</f>
        <v>بني عمير, مكة المكرمة, Saudi Arabia</v>
      </c>
      <c r="K424" s="18">
        <v>21.666056</v>
      </c>
      <c r="L424" s="18">
        <v>40.016308</v>
      </c>
      <c r="M424" s="18">
        <v>2000</v>
      </c>
      <c r="N424" s="18" t="s">
        <v>562</v>
      </c>
    </row>
    <row r="425" ht="15" customHeight="1" spans="1:14" x14ac:dyDescent="0.25">
      <c r="A425" s="13" t="s">
        <v>1420</v>
      </c>
      <c r="B425" s="13">
        <v>2</v>
      </c>
      <c r="C425" s="14" t="s">
        <v>47</v>
      </c>
      <c r="D425" s="13" t="s">
        <v>184</v>
      </c>
      <c r="E425" s="14" t="s">
        <v>185</v>
      </c>
      <c r="F425" s="14" t="s">
        <v>1421</v>
      </c>
      <c r="G425" s="13" t="s">
        <v>113</v>
      </c>
      <c r="H425" s="18" t="str">
        <f>IFERROR(INDEX('المحافظات Governorates'!$E$2:$E$151,MATCH(D425,'المحافظات Governorates'!$A$2:$A$151,0)),"")</f>
        <v>Jeddah</v>
      </c>
      <c r="I425" s="18" t="str">
        <f>IFERROR(INDEX('المناطق Regions'!$C$2:$C$15,MATCH(B425,'المناطق Regions'!$A$2:$A$15,0)),"")</f>
        <v>Makkah Al-Mukarramah</v>
      </c>
      <c r="J425" s="18" t="str">
        <f>F425&amp;", "&amp;E425&amp;", Saudi Arabia"</f>
        <v>ثول, جدة, Saudi Arabia</v>
      </c>
      <c r="K425" s="18">
        <v>22.283345</v>
      </c>
      <c r="L425" s="18">
        <v>39.112814</v>
      </c>
      <c r="M425" s="18">
        <v>2000</v>
      </c>
      <c r="N425" s="18" t="s">
        <v>642</v>
      </c>
    </row>
    <row r="426" ht="15" customHeight="1" spans="1:14" x14ac:dyDescent="0.25">
      <c r="A426" s="11" t="s">
        <v>1422</v>
      </c>
      <c r="B426" s="11">
        <v>2</v>
      </c>
      <c r="C426" s="12" t="s">
        <v>47</v>
      </c>
      <c r="D426" s="11" t="s">
        <v>188</v>
      </c>
      <c r="E426" s="12" t="s">
        <v>189</v>
      </c>
      <c r="F426" s="12" t="s">
        <v>1423</v>
      </c>
      <c r="G426" s="11" t="s">
        <v>113</v>
      </c>
      <c r="H426" s="18" t="str">
        <f>IFERROR(INDEX('المحافظات Governorates'!$E$2:$E$151,MATCH(D426,'المحافظات Governorates'!$A$2:$A$151,0)),"")</f>
        <v>Taif</v>
      </c>
      <c r="I426" s="18" t="str">
        <f>IFERROR(INDEX('المناطق Regions'!$C$2:$C$15,MATCH(B426,'المناطق Regions'!$A$2:$A$15,0)),"")</f>
        <v>Makkah Al-Mukarramah</v>
      </c>
      <c r="J426" s="18" t="str">
        <f>F426&amp;", "&amp;E426&amp;", Saudi Arabia"</f>
        <v>الهدا, الطائف, Saudi Arabia</v>
      </c>
      <c r="K426" s="18">
        <v>21.352895</v>
      </c>
      <c r="L426" s="18">
        <v>40.277324</v>
      </c>
      <c r="M426" s="18">
        <v>2000</v>
      </c>
      <c r="N426" s="18" t="s">
        <v>562</v>
      </c>
    </row>
    <row r="427" ht="15" customHeight="1" spans="1:14" x14ac:dyDescent="0.25">
      <c r="A427" s="13" t="s">
        <v>1424</v>
      </c>
      <c r="B427" s="13">
        <v>2</v>
      </c>
      <c r="C427" s="14" t="s">
        <v>47</v>
      </c>
      <c r="D427" s="13" t="s">
        <v>188</v>
      </c>
      <c r="E427" s="14" t="s">
        <v>189</v>
      </c>
      <c r="F427" s="14" t="s">
        <v>1425</v>
      </c>
      <c r="G427" s="13" t="s">
        <v>113</v>
      </c>
      <c r="H427" s="18" t="str">
        <f>IFERROR(INDEX('المحافظات Governorates'!$E$2:$E$151,MATCH(D427,'المحافظات Governorates'!$A$2:$A$151,0)),"")</f>
        <v>Taif</v>
      </c>
      <c r="I427" s="18" t="str">
        <f>IFERROR(INDEX('المناطق Regions'!$C$2:$C$15,MATCH(B427,'المناطق Regions'!$A$2:$A$15,0)),"")</f>
        <v>Makkah Al-Mukarramah</v>
      </c>
      <c r="J427" s="18" t="str">
        <f>F427&amp;", "&amp;E427&amp;", Saudi Arabia"</f>
        <v>المحاني, الطائف, Saudi Arabia</v>
      </c>
      <c r="K427" s="18">
        <v>22.496037</v>
      </c>
      <c r="L427" s="18">
        <v>40.43733</v>
      </c>
      <c r="M427" s="18">
        <v>2000</v>
      </c>
      <c r="N427" s="18" t="s">
        <v>562</v>
      </c>
    </row>
    <row r="428" ht="15" customHeight="1" spans="1:14" x14ac:dyDescent="0.25">
      <c r="A428" s="11" t="s">
        <v>1426</v>
      </c>
      <c r="B428" s="11">
        <v>2</v>
      </c>
      <c r="C428" s="12" t="s">
        <v>47</v>
      </c>
      <c r="D428" s="11" t="s">
        <v>188</v>
      </c>
      <c r="E428" s="12" t="s">
        <v>189</v>
      </c>
      <c r="F428" s="12" t="s">
        <v>1427</v>
      </c>
      <c r="G428" s="11" t="s">
        <v>113</v>
      </c>
      <c r="H428" s="18" t="str">
        <f>IFERROR(INDEX('المحافظات Governorates'!$E$2:$E$151,MATCH(D428,'المحافظات Governorates'!$A$2:$A$151,0)),"")</f>
        <v>Taif</v>
      </c>
      <c r="I428" s="18" t="str">
        <f>IFERROR(INDEX('المناطق Regions'!$C$2:$C$15,MATCH(B428,'المناطق Regions'!$A$2:$A$15,0)),"")</f>
        <v>Makkah Al-Mukarramah</v>
      </c>
      <c r="J428" s="18" t="str">
        <f>F428&amp;", "&amp;E428&amp;", Saudi Arabia"</f>
        <v>السيل الكبير, الطائف, Saudi Arabia</v>
      </c>
      <c r="K428" s="18">
        <v>21.626389</v>
      </c>
      <c r="L428" s="18">
        <v>40.415278</v>
      </c>
      <c r="M428" s="18">
        <v>2000</v>
      </c>
      <c r="N428" s="18" t="s">
        <v>562</v>
      </c>
    </row>
    <row r="429" ht="15" customHeight="1" spans="1:14" x14ac:dyDescent="0.25">
      <c r="A429" s="13" t="s">
        <v>1428</v>
      </c>
      <c r="B429" s="13">
        <v>2</v>
      </c>
      <c r="C429" s="14" t="s">
        <v>47</v>
      </c>
      <c r="D429" s="13" t="s">
        <v>188</v>
      </c>
      <c r="E429" s="14" t="s">
        <v>189</v>
      </c>
      <c r="F429" s="14" t="s">
        <v>1429</v>
      </c>
      <c r="G429" s="13" t="s">
        <v>113</v>
      </c>
      <c r="H429" s="18" t="str">
        <f>IFERROR(INDEX('المحافظات Governorates'!$E$2:$E$151,MATCH(D429,'المحافظات Governorates'!$A$2:$A$151,0)),"")</f>
        <v>Taif</v>
      </c>
      <c r="I429" s="18" t="str">
        <f>IFERROR(INDEX('المناطق Regions'!$C$2:$C$15,MATCH(B429,'المناطق Regions'!$A$2:$A$15,0)),"")</f>
        <v>Makkah Al-Mukarramah</v>
      </c>
      <c r="J429" s="18" t="str">
        <f>F429&amp;", "&amp;E429&amp;", Saudi Arabia"</f>
        <v>الشفا, الطائف, Saudi Arabia</v>
      </c>
      <c r="K429" s="18">
        <v>21.069444</v>
      </c>
      <c r="L429" s="18">
        <v>40.311944</v>
      </c>
      <c r="M429" s="18">
        <v>2000</v>
      </c>
      <c r="N429" s="18" t="s">
        <v>562</v>
      </c>
    </row>
    <row r="430" ht="15" customHeight="1" spans="1:14" x14ac:dyDescent="0.25">
      <c r="A430" s="11" t="s">
        <v>1430</v>
      </c>
      <c r="B430" s="11">
        <v>2</v>
      </c>
      <c r="C430" s="12" t="s">
        <v>47</v>
      </c>
      <c r="D430" s="11" t="s">
        <v>188</v>
      </c>
      <c r="E430" s="12" t="s">
        <v>189</v>
      </c>
      <c r="F430" s="12" t="s">
        <v>1431</v>
      </c>
      <c r="G430" s="11" t="s">
        <v>113</v>
      </c>
      <c r="H430" s="18" t="str">
        <f>IFERROR(INDEX('المحافظات Governorates'!$E$2:$E$151,MATCH(D430,'المحافظات Governorates'!$A$2:$A$151,0)),"")</f>
        <v>Taif</v>
      </c>
      <c r="I430" s="18" t="str">
        <f>IFERROR(INDEX('المناطق Regions'!$C$2:$C$15,MATCH(B430,'المناطق Regions'!$A$2:$A$15,0)),"")</f>
        <v>Makkah Al-Mukarramah</v>
      </c>
      <c r="J430" s="18" t="str">
        <f>F430&amp;", "&amp;E430&amp;", Saudi Arabia"</f>
        <v>عشيره, الطائف, Saudi Arabia</v>
      </c>
      <c r="K430" s="18">
        <v>21.758084</v>
      </c>
      <c r="L430" s="18">
        <v>40.650979</v>
      </c>
      <c r="M430" s="18">
        <v>2000</v>
      </c>
      <c r="N430" s="18" t="s">
        <v>562</v>
      </c>
    </row>
    <row r="431" ht="15" customHeight="1" spans="1:14" x14ac:dyDescent="0.25">
      <c r="A431" s="13" t="s">
        <v>1432</v>
      </c>
      <c r="B431" s="13">
        <v>2</v>
      </c>
      <c r="C431" s="14" t="s">
        <v>47</v>
      </c>
      <c r="D431" s="13" t="s">
        <v>188</v>
      </c>
      <c r="E431" s="14" t="s">
        <v>189</v>
      </c>
      <c r="F431" s="14" t="s">
        <v>1433</v>
      </c>
      <c r="G431" s="13" t="s">
        <v>149</v>
      </c>
      <c r="H431" s="18" t="str">
        <f>IFERROR(INDEX('المحافظات Governorates'!$E$2:$E$151,MATCH(D431,'المحافظات Governorates'!$A$2:$A$151,0)),"")</f>
        <v>Taif</v>
      </c>
      <c r="I431" s="18" t="str">
        <f>IFERROR(INDEX('المناطق Regions'!$C$2:$C$15,MATCH(B431,'المناطق Regions'!$A$2:$A$15,0)),"")</f>
        <v>Makkah Al-Mukarramah</v>
      </c>
      <c r="J431" s="18" t="str">
        <f>F431&amp;", "&amp;E431&amp;", Saudi Arabia"</f>
        <v>السديره, الطائف, Saudi Arabia</v>
      </c>
      <c r="K431" s="18">
        <v>21.361924</v>
      </c>
      <c r="L431" s="18">
        <v>40.849325</v>
      </c>
      <c r="M431" s="18">
        <v>2000</v>
      </c>
      <c r="N431" s="18" t="s">
        <v>562</v>
      </c>
    </row>
    <row r="432" ht="15" customHeight="1" spans="1:14" x14ac:dyDescent="0.25">
      <c r="A432" s="11" t="s">
        <v>1434</v>
      </c>
      <c r="B432" s="11">
        <v>2</v>
      </c>
      <c r="C432" s="12" t="s">
        <v>47</v>
      </c>
      <c r="D432" s="11" t="s">
        <v>188</v>
      </c>
      <c r="E432" s="12" t="s">
        <v>189</v>
      </c>
      <c r="F432" s="12" t="s">
        <v>831</v>
      </c>
      <c r="G432" s="11" t="s">
        <v>149</v>
      </c>
      <c r="H432" s="18" t="str">
        <f>IFERROR(INDEX('المحافظات Governorates'!$E$2:$E$151,MATCH(D432,'المحافظات Governorates'!$A$2:$A$151,0)),"")</f>
        <v>Taif</v>
      </c>
      <c r="I432" s="18" t="str">
        <f>IFERROR(INDEX('المناطق Regions'!$C$2:$C$15,MATCH(B432,'المناطق Regions'!$A$2:$A$15,0)),"")</f>
        <v>Makkah Al-Mukarramah</v>
      </c>
      <c r="J432" s="18" t="str">
        <f>F432&amp;", "&amp;E432&amp;", Saudi Arabia"</f>
        <v>الفيصليه, الطائف, Saudi Arabia</v>
      </c>
      <c r="K432" s="18">
        <v>21.812748</v>
      </c>
      <c r="L432" s="18">
        <v>40.681314</v>
      </c>
      <c r="M432" s="18">
        <v>2000</v>
      </c>
      <c r="N432" s="18" t="s">
        <v>562</v>
      </c>
    </row>
    <row r="433" ht="15" customHeight="1" spans="1:14" x14ac:dyDescent="0.25">
      <c r="A433" s="13" t="s">
        <v>1435</v>
      </c>
      <c r="B433" s="13">
        <v>2</v>
      </c>
      <c r="C433" s="14" t="s">
        <v>47</v>
      </c>
      <c r="D433" s="13" t="s">
        <v>188</v>
      </c>
      <c r="E433" s="14" t="s">
        <v>189</v>
      </c>
      <c r="F433" s="14" t="s">
        <v>1436</v>
      </c>
      <c r="G433" s="13" t="s">
        <v>113</v>
      </c>
      <c r="H433" s="18" t="str">
        <f>IFERROR(INDEX('المحافظات Governorates'!$E$2:$E$151,MATCH(D433,'المحافظات Governorates'!$A$2:$A$151,0)),"")</f>
        <v>Taif</v>
      </c>
      <c r="I433" s="18" t="str">
        <f>IFERROR(INDEX('المناطق Regions'!$C$2:$C$15,MATCH(B433,'المناطق Regions'!$A$2:$A$15,0)),"")</f>
        <v>Makkah Al-Mukarramah</v>
      </c>
      <c r="J433" s="18" t="str">
        <f>F433&amp;", "&amp;E433&amp;", Saudi Arabia"</f>
        <v>قياء, الطائف, Saudi Arabia</v>
      </c>
      <c r="K433" s="18">
        <v>21.071111</v>
      </c>
      <c r="L433" s="18">
        <v>41.006944</v>
      </c>
      <c r="M433" s="18">
        <v>2000</v>
      </c>
      <c r="N433" s="18" t="s">
        <v>562</v>
      </c>
    </row>
    <row r="434" ht="15" customHeight="1" spans="1:14" x14ac:dyDescent="0.25">
      <c r="A434" s="11" t="s">
        <v>1437</v>
      </c>
      <c r="B434" s="11">
        <v>2</v>
      </c>
      <c r="C434" s="12" t="s">
        <v>47</v>
      </c>
      <c r="D434" s="11" t="s">
        <v>188</v>
      </c>
      <c r="E434" s="12" t="s">
        <v>189</v>
      </c>
      <c r="F434" s="12" t="s">
        <v>1438</v>
      </c>
      <c r="G434" s="11" t="s">
        <v>149</v>
      </c>
      <c r="H434" s="18" t="str">
        <f>IFERROR(INDEX('المحافظات Governorates'!$E$2:$E$151,MATCH(D434,'المحافظات Governorates'!$A$2:$A$151,0)),"")</f>
        <v>Taif</v>
      </c>
      <c r="I434" s="18" t="str">
        <f>IFERROR(INDEX('المناطق Regions'!$C$2:$C$15,MATCH(B434,'المناطق Regions'!$A$2:$A$15,0)),"")</f>
        <v>Makkah Al-Mukarramah</v>
      </c>
      <c r="J434" s="18" t="str">
        <f>F434&amp;", "&amp;E434&amp;", Saudi Arabia"</f>
        <v>الفريع, الطائف, Saudi Arabia</v>
      </c>
      <c r="K434" s="18">
        <v>22.621002</v>
      </c>
      <c r="L434" s="18">
        <v>40.561633</v>
      </c>
      <c r="M434" s="18">
        <v>2000</v>
      </c>
      <c r="N434" s="18" t="s">
        <v>562</v>
      </c>
    </row>
    <row r="435" ht="15" customHeight="1" spans="1:14" x14ac:dyDescent="0.25">
      <c r="A435" s="13" t="s">
        <v>1439</v>
      </c>
      <c r="B435" s="13">
        <v>2</v>
      </c>
      <c r="C435" s="14" t="s">
        <v>47</v>
      </c>
      <c r="D435" s="13" t="s">
        <v>188</v>
      </c>
      <c r="E435" s="14" t="s">
        <v>189</v>
      </c>
      <c r="F435" s="14" t="s">
        <v>1440</v>
      </c>
      <c r="G435" s="13" t="s">
        <v>149</v>
      </c>
      <c r="H435" s="18" t="str">
        <f>IFERROR(INDEX('المحافظات Governorates'!$E$2:$E$151,MATCH(D435,'المحافظات Governorates'!$A$2:$A$151,0)),"")</f>
        <v>Taif</v>
      </c>
      <c r="I435" s="18" t="str">
        <f>IFERROR(INDEX('المناطق Regions'!$C$2:$C$15,MATCH(B435,'المناطق Regions'!$A$2:$A$15,0)),"")</f>
        <v>Makkah Al-Mukarramah</v>
      </c>
      <c r="J435" s="18" t="str">
        <f>F435&amp;", "&amp;E435&amp;", Saudi Arabia"</f>
        <v>آل مشعان, الطائف, Saudi Arabia</v>
      </c>
      <c r="K435" s="18">
        <v>21.799275</v>
      </c>
      <c r="L435" s="18">
        <v>40.669726</v>
      </c>
      <c r="M435" s="18">
        <v>2000</v>
      </c>
      <c r="N435" s="18" t="s">
        <v>562</v>
      </c>
    </row>
    <row r="436" ht="15" customHeight="1" spans="1:14" x14ac:dyDescent="0.25">
      <c r="A436" s="11" t="s">
        <v>1441</v>
      </c>
      <c r="B436" s="11">
        <v>2</v>
      </c>
      <c r="C436" s="12" t="s">
        <v>47</v>
      </c>
      <c r="D436" s="11" t="s">
        <v>188</v>
      </c>
      <c r="E436" s="12" t="s">
        <v>189</v>
      </c>
      <c r="F436" s="12" t="s">
        <v>1442</v>
      </c>
      <c r="G436" s="11" t="s">
        <v>149</v>
      </c>
      <c r="H436" s="18" t="str">
        <f>IFERROR(INDEX('المحافظات Governorates'!$E$2:$E$151,MATCH(D436,'المحافظات Governorates'!$A$2:$A$151,0)),"")</f>
        <v>Taif</v>
      </c>
      <c r="I436" s="18" t="str">
        <f>IFERROR(INDEX('المناطق Regions'!$C$2:$C$15,MATCH(B436,'المناطق Regions'!$A$2:$A$15,0)),"")</f>
        <v>Makkah Al-Mukarramah</v>
      </c>
      <c r="J436" s="18" t="str">
        <f>F436&amp;", "&amp;E436&amp;", Saudi Arabia"</f>
        <v>فيضة المسلح, الطائف, Saudi Arabia</v>
      </c>
      <c r="K436" s="18">
        <v>22.5025</v>
      </c>
      <c r="L436" s="18">
        <v>40.766944</v>
      </c>
      <c r="M436" s="18">
        <v>2000</v>
      </c>
      <c r="N436" s="18" t="s">
        <v>562</v>
      </c>
    </row>
    <row r="437" ht="15" customHeight="1" spans="1:14" x14ac:dyDescent="0.25">
      <c r="A437" s="13" t="s">
        <v>1443</v>
      </c>
      <c r="B437" s="13">
        <v>2</v>
      </c>
      <c r="C437" s="14" t="s">
        <v>47</v>
      </c>
      <c r="D437" s="13" t="s">
        <v>188</v>
      </c>
      <c r="E437" s="14" t="s">
        <v>189</v>
      </c>
      <c r="F437" s="14" t="s">
        <v>1444</v>
      </c>
      <c r="G437" s="13" t="s">
        <v>113</v>
      </c>
      <c r="H437" s="18" t="str">
        <f>IFERROR(INDEX('المحافظات Governorates'!$E$2:$E$151,MATCH(D437,'المحافظات Governorates'!$A$2:$A$151,0)),"")</f>
        <v>Taif</v>
      </c>
      <c r="I437" s="18" t="str">
        <f>IFERROR(INDEX('المناطق Regions'!$C$2:$C$15,MATCH(B437,'المناطق Regions'!$A$2:$A$15,0)),"")</f>
        <v>Makkah Al-Mukarramah</v>
      </c>
      <c r="J437" s="18" t="str">
        <f>F437&amp;", "&amp;E437&amp;", Saudi Arabia"</f>
        <v>شقصان, الطائف, Saudi Arabia</v>
      </c>
      <c r="K437" s="18">
        <v>21.126111</v>
      </c>
      <c r="L437" s="18">
        <v>40.840833</v>
      </c>
      <c r="M437" s="18">
        <v>2000</v>
      </c>
      <c r="N437" s="18" t="s">
        <v>562</v>
      </c>
    </row>
    <row r="438" ht="15" customHeight="1" spans="1:14" x14ac:dyDescent="0.25">
      <c r="A438" s="11" t="s">
        <v>1445</v>
      </c>
      <c r="B438" s="11">
        <v>2</v>
      </c>
      <c r="C438" s="12" t="s">
        <v>47</v>
      </c>
      <c r="D438" s="11" t="s">
        <v>188</v>
      </c>
      <c r="E438" s="12" t="s">
        <v>189</v>
      </c>
      <c r="F438" s="12" t="s">
        <v>1446</v>
      </c>
      <c r="G438" s="11" t="s">
        <v>149</v>
      </c>
      <c r="H438" s="18" t="str">
        <f>IFERROR(INDEX('المحافظات Governorates'!$E$2:$E$151,MATCH(D438,'المحافظات Governorates'!$A$2:$A$151,0)),"")</f>
        <v>Taif</v>
      </c>
      <c r="I438" s="18" t="str">
        <f>IFERROR(INDEX('المناطق Regions'!$C$2:$C$15,MATCH(B438,'المناطق Regions'!$A$2:$A$15,0)),"")</f>
        <v>Makkah Al-Mukarramah</v>
      </c>
      <c r="J438" s="18" t="str">
        <f>F438&amp;", "&amp;E438&amp;", Saudi Arabia"</f>
        <v>الحفاير, الطائف, Saudi Arabia</v>
      </c>
      <c r="K438" s="18">
        <v>22.31</v>
      </c>
      <c r="L438" s="18">
        <v>40.601944</v>
      </c>
      <c r="M438" s="18">
        <v>2000</v>
      </c>
      <c r="N438" s="18" t="s">
        <v>562</v>
      </c>
    </row>
    <row r="439" ht="15" customHeight="1" spans="1:14" x14ac:dyDescent="0.25">
      <c r="A439" s="13" t="s">
        <v>1447</v>
      </c>
      <c r="B439" s="13">
        <v>2</v>
      </c>
      <c r="C439" s="14" t="s">
        <v>47</v>
      </c>
      <c r="D439" s="13" t="s">
        <v>188</v>
      </c>
      <c r="E439" s="14" t="s">
        <v>189</v>
      </c>
      <c r="F439" s="14" t="s">
        <v>1448</v>
      </c>
      <c r="G439" s="13" t="s">
        <v>113</v>
      </c>
      <c r="H439" s="18" t="str">
        <f>IFERROR(INDEX('المحافظات Governorates'!$E$2:$E$151,MATCH(D439,'المحافظات Governorates'!$A$2:$A$151,0)),"")</f>
        <v>Taif</v>
      </c>
      <c r="I439" s="18" t="str">
        <f>IFERROR(INDEX('المناطق Regions'!$C$2:$C$15,MATCH(B439,'المناطق Regions'!$A$2:$A$15,0)),"")</f>
        <v>Makkah Al-Mukarramah</v>
      </c>
      <c r="J439" s="18" t="str">
        <f>F439&amp;", "&amp;E439&amp;", Saudi Arabia"</f>
        <v>العطيف, الطائف, Saudi Arabia</v>
      </c>
      <c r="K439" s="18">
        <v>21.87548</v>
      </c>
      <c r="L439" s="18">
        <v>41.013634</v>
      </c>
      <c r="M439" s="18">
        <v>2000</v>
      </c>
      <c r="N439" s="18" t="s">
        <v>562</v>
      </c>
    </row>
    <row r="440" ht="15" customHeight="1" spans="1:14" x14ac:dyDescent="0.25">
      <c r="A440" s="11" t="s">
        <v>1449</v>
      </c>
      <c r="B440" s="11">
        <v>2</v>
      </c>
      <c r="C440" s="12" t="s">
        <v>47</v>
      </c>
      <c r="D440" s="11" t="s">
        <v>188</v>
      </c>
      <c r="E440" s="12" t="s">
        <v>189</v>
      </c>
      <c r="F440" s="12" t="s">
        <v>1450</v>
      </c>
      <c r="G440" s="11" t="s">
        <v>149</v>
      </c>
      <c r="H440" s="18" t="str">
        <f>IFERROR(INDEX('المحافظات Governorates'!$E$2:$E$151,MATCH(D440,'المحافظات Governorates'!$A$2:$A$151,0)),"")</f>
        <v>Taif</v>
      </c>
      <c r="I440" s="18" t="str">
        <f>IFERROR(INDEX('المناطق Regions'!$C$2:$C$15,MATCH(B440,'المناطق Regions'!$A$2:$A$15,0)),"")</f>
        <v>Makkah Al-Mukarramah</v>
      </c>
      <c r="J440" s="18" t="str">
        <f>F440&amp;", "&amp;E440&amp;", Saudi Arabia"</f>
        <v>العاند, الطائف, Saudi Arabia</v>
      </c>
      <c r="K440" s="18">
        <v>21.682865</v>
      </c>
      <c r="L440" s="18">
        <v>40.673102</v>
      </c>
      <c r="M440" s="18">
        <v>2000</v>
      </c>
      <c r="N440" s="18" t="s">
        <v>562</v>
      </c>
    </row>
    <row r="441" ht="15" customHeight="1" spans="1:14" x14ac:dyDescent="0.25">
      <c r="A441" s="13" t="s">
        <v>1451</v>
      </c>
      <c r="B441" s="13">
        <v>2</v>
      </c>
      <c r="C441" s="14" t="s">
        <v>47</v>
      </c>
      <c r="D441" s="13" t="s">
        <v>188</v>
      </c>
      <c r="E441" s="14" t="s">
        <v>189</v>
      </c>
      <c r="F441" s="14" t="s">
        <v>522</v>
      </c>
      <c r="G441" s="13" t="s">
        <v>149</v>
      </c>
      <c r="H441" s="18" t="str">
        <f>IFERROR(INDEX('المحافظات Governorates'!$E$2:$E$151,MATCH(D441,'المحافظات Governorates'!$A$2:$A$151,0)),"")</f>
        <v>Taif</v>
      </c>
      <c r="I441" s="18" t="str">
        <f>IFERROR(INDEX('المناطق Regions'!$C$2:$C$15,MATCH(B441,'المناطق Regions'!$A$2:$A$15,0)),"")</f>
        <v>Makkah Al-Mukarramah</v>
      </c>
      <c r="J441" s="18" t="str">
        <f>F441&amp;", "&amp;E441&amp;", Saudi Arabia"</f>
        <v>العقيق, الطائف, Saudi Arabia</v>
      </c>
      <c r="K441" s="18">
        <v>21.282888</v>
      </c>
      <c r="L441" s="18">
        <v>40.411516</v>
      </c>
      <c r="M441" s="18">
        <v>2000</v>
      </c>
      <c r="N441" s="18" t="s">
        <v>562</v>
      </c>
    </row>
    <row r="442" ht="15" customHeight="1" spans="1:14" x14ac:dyDescent="0.25">
      <c r="A442" s="11" t="s">
        <v>1452</v>
      </c>
      <c r="B442" s="11">
        <v>2</v>
      </c>
      <c r="C442" s="12" t="s">
        <v>47</v>
      </c>
      <c r="D442" s="11" t="s">
        <v>188</v>
      </c>
      <c r="E442" s="12" t="s">
        <v>189</v>
      </c>
      <c r="F442" s="12" t="s">
        <v>1453</v>
      </c>
      <c r="G442" s="11" t="s">
        <v>149</v>
      </c>
      <c r="H442" s="18" t="str">
        <f>IFERROR(INDEX('المحافظات Governorates'!$E$2:$E$151,MATCH(D442,'المحافظات Governorates'!$A$2:$A$151,0)),"")</f>
        <v>Taif</v>
      </c>
      <c r="I442" s="18" t="str">
        <f>IFERROR(INDEX('المناطق Regions'!$C$2:$C$15,MATCH(B442,'المناطق Regions'!$A$2:$A$15,0)),"")</f>
        <v>Makkah Al-Mukarramah</v>
      </c>
      <c r="J442" s="18" t="str">
        <f>F442&amp;", "&amp;E442&amp;", Saudi Arabia"</f>
        <v>وادي كلاخ, الطائف, Saudi Arabia</v>
      </c>
      <c r="K442" s="18">
        <v>21.271242</v>
      </c>
      <c r="L442" s="18">
        <v>40.789575</v>
      </c>
      <c r="M442" s="18">
        <v>2000</v>
      </c>
      <c r="N442" s="18" t="s">
        <v>562</v>
      </c>
    </row>
    <row r="443" ht="15" customHeight="1" spans="1:14" x14ac:dyDescent="0.25">
      <c r="A443" s="13" t="s">
        <v>1454</v>
      </c>
      <c r="B443" s="13">
        <v>2</v>
      </c>
      <c r="C443" s="14" t="s">
        <v>47</v>
      </c>
      <c r="D443" s="13" t="s">
        <v>188</v>
      </c>
      <c r="E443" s="14" t="s">
        <v>189</v>
      </c>
      <c r="F443" s="14" t="s">
        <v>1455</v>
      </c>
      <c r="G443" s="13" t="s">
        <v>149</v>
      </c>
      <c r="H443" s="18" t="str">
        <f>IFERROR(INDEX('المحافظات Governorates'!$E$2:$E$151,MATCH(D443,'المحافظات Governorates'!$A$2:$A$151,0)),"")</f>
        <v>Taif</v>
      </c>
      <c r="I443" s="18" t="str">
        <f>IFERROR(INDEX('المناطق Regions'!$C$2:$C$15,MATCH(B443,'المناطق Regions'!$A$2:$A$15,0)),"")</f>
        <v>Makkah Al-Mukarramah</v>
      </c>
      <c r="J443" s="18" t="str">
        <f>F443&amp;", "&amp;E443&amp;", Saudi Arabia"</f>
        <v>دغبج, الطائف, Saudi Arabia</v>
      </c>
      <c r="K443" s="18">
        <v>22.379308</v>
      </c>
      <c r="L443" s="18">
        <v>40.714947</v>
      </c>
      <c r="M443" s="18">
        <v>2000</v>
      </c>
      <c r="N443" s="18" t="s">
        <v>562</v>
      </c>
    </row>
    <row r="444" ht="15" customHeight="1" spans="1:14" x14ac:dyDescent="0.25">
      <c r="A444" s="11" t="s">
        <v>1456</v>
      </c>
      <c r="B444" s="11">
        <v>2</v>
      </c>
      <c r="C444" s="12" t="s">
        <v>47</v>
      </c>
      <c r="D444" s="11" t="s">
        <v>191</v>
      </c>
      <c r="E444" s="12" t="s">
        <v>192</v>
      </c>
      <c r="F444" s="12" t="s">
        <v>1457</v>
      </c>
      <c r="G444" s="11" t="s">
        <v>113</v>
      </c>
      <c r="H444" s="18" t="str">
        <f>IFERROR(INDEX('المحافظات Governorates'!$E$2:$E$151,MATCH(D444,'المحافظات Governorates'!$A$2:$A$151,0)),"")</f>
        <v>Al-Qunfudhah</v>
      </c>
      <c r="I444" s="18" t="str">
        <f>IFERROR(INDEX('المناطق Regions'!$C$2:$C$15,MATCH(B444,'المناطق Regions'!$A$2:$A$15,0)),"")</f>
        <v>Makkah Al-Mukarramah</v>
      </c>
      <c r="J444" s="18" t="str">
        <f>F444&amp;", "&amp;E444&amp;", Saudi Arabia"</f>
        <v>القوز, القنفذه, Saudi Arabia</v>
      </c>
      <c r="K444" s="18">
        <v>18.9725</v>
      </c>
      <c r="L444" s="18">
        <v>41.311667</v>
      </c>
      <c r="M444" s="18">
        <v>2000</v>
      </c>
      <c r="N444" s="18" t="s">
        <v>562</v>
      </c>
    </row>
    <row r="445" ht="15" customHeight="1" spans="1:14" x14ac:dyDescent="0.25">
      <c r="A445" s="13" t="s">
        <v>1458</v>
      </c>
      <c r="B445" s="13">
        <v>2</v>
      </c>
      <c r="C445" s="14" t="s">
        <v>47</v>
      </c>
      <c r="D445" s="13" t="s">
        <v>191</v>
      </c>
      <c r="E445" s="14" t="s">
        <v>192</v>
      </c>
      <c r="F445" s="14" t="s">
        <v>1459</v>
      </c>
      <c r="G445" s="13" t="s">
        <v>113</v>
      </c>
      <c r="H445" s="18" t="str">
        <f>IFERROR(INDEX('المحافظات Governorates'!$E$2:$E$151,MATCH(D445,'المحافظات Governorates'!$A$2:$A$151,0)),"")</f>
        <v>Al-Qunfudhah</v>
      </c>
      <c r="I445" s="18" t="str">
        <f>IFERROR(INDEX('المناطق Regions'!$C$2:$C$15,MATCH(B445,'المناطق Regions'!$A$2:$A$15,0)),"")</f>
        <v>Makkah Al-Mukarramah</v>
      </c>
      <c r="J445" s="18" t="str">
        <f>F445&amp;", "&amp;E445&amp;", Saudi Arabia"</f>
        <v>حلى, القنفذه, Saudi Arabia</v>
      </c>
      <c r="K445" s="18">
        <v>18.7</v>
      </c>
      <c r="L445" s="18">
        <v>41.333333</v>
      </c>
      <c r="M445" s="18">
        <v>2000</v>
      </c>
      <c r="N445" s="18" t="s">
        <v>562</v>
      </c>
    </row>
    <row r="446" ht="15" customHeight="1" spans="1:14" x14ac:dyDescent="0.25">
      <c r="A446" s="11" t="s">
        <v>1460</v>
      </c>
      <c r="B446" s="11">
        <v>2</v>
      </c>
      <c r="C446" s="12" t="s">
        <v>47</v>
      </c>
      <c r="D446" s="11" t="s">
        <v>191</v>
      </c>
      <c r="E446" s="12" t="s">
        <v>192</v>
      </c>
      <c r="F446" s="12" t="s">
        <v>1461</v>
      </c>
      <c r="G446" s="11" t="s">
        <v>113</v>
      </c>
      <c r="H446" s="18" t="str">
        <f>IFERROR(INDEX('المحافظات Governorates'!$E$2:$E$151,MATCH(D446,'المحافظات Governorates'!$A$2:$A$151,0)),"")</f>
        <v>Al-Qunfudhah</v>
      </c>
      <c r="I446" s="18" t="str">
        <f>IFERROR(INDEX('المناطق Regions'!$C$2:$C$15,MATCH(B446,'المناطق Regions'!$A$2:$A$15,0)),"")</f>
        <v>Makkah Al-Mukarramah</v>
      </c>
      <c r="J446" s="18" t="str">
        <f>F446&amp;", "&amp;E446&amp;", Saudi Arabia"</f>
        <v>المظيلف, القنفذه, Saudi Arabia</v>
      </c>
      <c r="K446" s="18">
        <v>19.537426</v>
      </c>
      <c r="L446" s="18">
        <v>41.050501</v>
      </c>
      <c r="M446" s="18">
        <v>2000</v>
      </c>
      <c r="N446" s="18" t="s">
        <v>562</v>
      </c>
    </row>
    <row r="447" ht="15" customHeight="1" spans="1:14" x14ac:dyDescent="0.25">
      <c r="A447" s="13" t="s">
        <v>1462</v>
      </c>
      <c r="B447" s="13">
        <v>2</v>
      </c>
      <c r="C447" s="14" t="s">
        <v>47</v>
      </c>
      <c r="D447" s="13" t="s">
        <v>191</v>
      </c>
      <c r="E447" s="14" t="s">
        <v>192</v>
      </c>
      <c r="F447" s="14" t="s">
        <v>1463</v>
      </c>
      <c r="G447" s="13" t="s">
        <v>113</v>
      </c>
      <c r="H447" s="18" t="str">
        <f>IFERROR(INDEX('المحافظات Governorates'!$E$2:$E$151,MATCH(D447,'المحافظات Governorates'!$A$2:$A$151,0)),"")</f>
        <v>Al-Qunfudhah</v>
      </c>
      <c r="I447" s="18" t="str">
        <f>IFERROR(INDEX('المناطق Regions'!$C$2:$C$15,MATCH(B447,'المناطق Regions'!$A$2:$A$15,0)),"")</f>
        <v>Makkah Al-Mukarramah</v>
      </c>
      <c r="J447" s="18" t="str">
        <f>F447&amp;", "&amp;E447&amp;", Saudi Arabia"</f>
        <v>سبت الجاره, القنفذه, Saudi Arabia</v>
      </c>
      <c r="K447" s="18">
        <v>19.191467</v>
      </c>
      <c r="L447" s="18">
        <v>41.266323</v>
      </c>
      <c r="M447" s="18">
        <v>111432</v>
      </c>
      <c r="N447" s="18" t="s">
        <v>1464</v>
      </c>
    </row>
    <row r="448" ht="15" customHeight="1" spans="1:14" x14ac:dyDescent="0.25">
      <c r="A448" s="11" t="s">
        <v>1465</v>
      </c>
      <c r="B448" s="11">
        <v>2</v>
      </c>
      <c r="C448" s="12" t="s">
        <v>47</v>
      </c>
      <c r="D448" s="11" t="s">
        <v>191</v>
      </c>
      <c r="E448" s="12" t="s">
        <v>192</v>
      </c>
      <c r="F448" s="12" t="s">
        <v>1466</v>
      </c>
      <c r="G448" s="11" t="s">
        <v>113</v>
      </c>
      <c r="H448" s="18" t="str">
        <f>IFERROR(INDEX('المحافظات Governorates'!$E$2:$E$151,MATCH(D448,'المحافظات Governorates'!$A$2:$A$151,0)),"")</f>
        <v>Al-Qunfudhah</v>
      </c>
      <c r="I448" s="18" t="str">
        <f>IFERROR(INDEX('المناطق Regions'!$C$2:$C$15,MATCH(B448,'المناطق Regions'!$A$2:$A$15,0)),"")</f>
        <v>Makkah Al-Mukarramah</v>
      </c>
      <c r="J448" s="18" t="str">
        <f>F448&amp;", "&amp;E448&amp;", Saudi Arabia"</f>
        <v>ثلاثاء الخرم, القنفذه, Saudi Arabia</v>
      </c>
      <c r="K448" s="18">
        <v>19.191467</v>
      </c>
      <c r="L448" s="18">
        <v>41.266323</v>
      </c>
      <c r="M448" s="18">
        <v>111432</v>
      </c>
      <c r="N448" s="18" t="s">
        <v>1464</v>
      </c>
    </row>
    <row r="449" ht="15" customHeight="1" spans="1:14" x14ac:dyDescent="0.25">
      <c r="A449" s="13" t="s">
        <v>1467</v>
      </c>
      <c r="B449" s="13">
        <v>2</v>
      </c>
      <c r="C449" s="14" t="s">
        <v>47</v>
      </c>
      <c r="D449" s="13" t="s">
        <v>191</v>
      </c>
      <c r="E449" s="14" t="s">
        <v>192</v>
      </c>
      <c r="F449" s="14" t="s">
        <v>1468</v>
      </c>
      <c r="G449" s="13" t="s">
        <v>113</v>
      </c>
      <c r="H449" s="18" t="str">
        <f>IFERROR(INDEX('المحافظات Governorates'!$E$2:$E$151,MATCH(D449,'المحافظات Governorates'!$A$2:$A$151,0)),"")</f>
        <v>Al-Qunfudhah</v>
      </c>
      <c r="I449" s="18" t="str">
        <f>IFERROR(INDEX('المناطق Regions'!$C$2:$C$15,MATCH(B449,'المناطق Regions'!$A$2:$A$15,0)),"")</f>
        <v>Makkah Al-Mukarramah</v>
      </c>
      <c r="J449" s="18" t="str">
        <f>F449&amp;", "&amp;E449&amp;", Saudi Arabia"</f>
        <v>دوقة, القنفذه, Saudi Arabia</v>
      </c>
      <c r="K449" s="18">
        <v>19.606155</v>
      </c>
      <c r="L449" s="18">
        <v>40.921385</v>
      </c>
      <c r="M449" s="18">
        <v>2000</v>
      </c>
      <c r="N449" s="18" t="s">
        <v>562</v>
      </c>
    </row>
    <row r="450" ht="15" customHeight="1" spans="1:14" x14ac:dyDescent="0.25">
      <c r="A450" s="11" t="s">
        <v>1469</v>
      </c>
      <c r="B450" s="11">
        <v>2</v>
      </c>
      <c r="C450" s="12" t="s">
        <v>47</v>
      </c>
      <c r="D450" s="11" t="s">
        <v>191</v>
      </c>
      <c r="E450" s="12" t="s">
        <v>192</v>
      </c>
      <c r="F450" s="12" t="s">
        <v>1470</v>
      </c>
      <c r="G450" s="11" t="s">
        <v>113</v>
      </c>
      <c r="H450" s="18" t="str">
        <f>IFERROR(INDEX('المحافظات Governorates'!$E$2:$E$151,MATCH(D450,'المحافظات Governorates'!$A$2:$A$151,0)),"")</f>
        <v>Al-Qunfudhah</v>
      </c>
      <c r="I450" s="18" t="str">
        <f>IFERROR(INDEX('المناطق Regions'!$C$2:$C$15,MATCH(B450,'المناطق Regions'!$A$2:$A$15,0)),"")</f>
        <v>Makkah Al-Mukarramah</v>
      </c>
      <c r="J450" s="18" t="str">
        <f>F450&amp;", "&amp;E450&amp;", Saudi Arabia"</f>
        <v>كنانه, القنفذه, Saudi Arabia</v>
      </c>
      <c r="K450" s="18">
        <v>19.191467</v>
      </c>
      <c r="L450" s="18">
        <v>41.266323</v>
      </c>
      <c r="M450" s="18">
        <v>111432</v>
      </c>
      <c r="N450" s="18" t="s">
        <v>1464</v>
      </c>
    </row>
    <row r="451" ht="15" customHeight="1" spans="1:14" x14ac:dyDescent="0.25">
      <c r="A451" s="13" t="s">
        <v>1471</v>
      </c>
      <c r="B451" s="13">
        <v>2</v>
      </c>
      <c r="C451" s="14" t="s">
        <v>47</v>
      </c>
      <c r="D451" s="13" t="s">
        <v>191</v>
      </c>
      <c r="E451" s="14" t="s">
        <v>192</v>
      </c>
      <c r="F451" s="14" t="s">
        <v>1472</v>
      </c>
      <c r="G451" s="13" t="s">
        <v>113</v>
      </c>
      <c r="H451" s="18" t="str">
        <f>IFERROR(INDEX('المحافظات Governorates'!$E$2:$E$151,MATCH(D451,'المحافظات Governorates'!$A$2:$A$151,0)),"")</f>
        <v>Al-Qunfudhah</v>
      </c>
      <c r="I451" s="18" t="str">
        <f>IFERROR(INDEX('المناطق Regions'!$C$2:$C$15,MATCH(B451,'المناطق Regions'!$A$2:$A$15,0)),"")</f>
        <v>Makkah Al-Mukarramah</v>
      </c>
      <c r="J451" s="18" t="str">
        <f>F451&amp;", "&amp;E451&amp;", Saudi Arabia"</f>
        <v>احد بنى زيد, القنفذه, Saudi Arabia</v>
      </c>
      <c r="K451" s="18">
        <v>19.192345</v>
      </c>
      <c r="L451" s="18">
        <v>41.204585</v>
      </c>
      <c r="M451" s="18">
        <v>2000</v>
      </c>
      <c r="N451" s="18" t="s">
        <v>562</v>
      </c>
    </row>
    <row r="452" ht="15" customHeight="1" spans="1:14" x14ac:dyDescent="0.25">
      <c r="A452" s="11" t="s">
        <v>1473</v>
      </c>
      <c r="B452" s="11">
        <v>2</v>
      </c>
      <c r="C452" s="12" t="s">
        <v>47</v>
      </c>
      <c r="D452" s="11" t="s">
        <v>191</v>
      </c>
      <c r="E452" s="12" t="s">
        <v>192</v>
      </c>
      <c r="F452" s="12" t="s">
        <v>1474</v>
      </c>
      <c r="G452" s="11" t="s">
        <v>149</v>
      </c>
      <c r="H452" s="18" t="str">
        <f>IFERROR(INDEX('المحافظات Governorates'!$E$2:$E$151,MATCH(D452,'المحافظات Governorates'!$A$2:$A$151,0)),"")</f>
        <v>Al-Qunfudhah</v>
      </c>
      <c r="I452" s="18" t="str">
        <f>IFERROR(INDEX('المناطق Regions'!$C$2:$C$15,MATCH(B452,'المناطق Regions'!$A$2:$A$15,0)),"")</f>
        <v>Makkah Al-Mukarramah</v>
      </c>
      <c r="J452" s="18" t="str">
        <f>F452&amp;", "&amp;E452&amp;", Saudi Arabia"</f>
        <v>خميس حرب, القنفذه, Saudi Arabia</v>
      </c>
      <c r="K452" s="18">
        <v>19.191467</v>
      </c>
      <c r="L452" s="18">
        <v>41.266323</v>
      </c>
      <c r="M452" s="18">
        <v>111432</v>
      </c>
      <c r="N452" s="18" t="s">
        <v>1464</v>
      </c>
    </row>
    <row r="453" ht="15" customHeight="1" spans="1:14" x14ac:dyDescent="0.25">
      <c r="A453" s="13" t="s">
        <v>1475</v>
      </c>
      <c r="B453" s="13">
        <v>2</v>
      </c>
      <c r="C453" s="14" t="s">
        <v>47</v>
      </c>
      <c r="D453" s="13" t="s">
        <v>228</v>
      </c>
      <c r="E453" s="14" t="s">
        <v>229</v>
      </c>
      <c r="F453" s="14" t="s">
        <v>1476</v>
      </c>
      <c r="G453" s="13" t="s">
        <v>149</v>
      </c>
      <c r="H453" s="18" t="str">
        <f>IFERROR(INDEX('المحافظات Governorates'!$E$2:$E$151,MATCH(D453,'المحافظات Governorates'!$A$2:$A$151,0)),"")</f>
        <v>Al-Ardiyat</v>
      </c>
      <c r="I453" s="18" t="str">
        <f>IFERROR(INDEX('المناطق Regions'!$C$2:$C$15,MATCH(B453,'المناطق Regions'!$A$2:$A$15,0)),"")</f>
        <v>Makkah Al-Mukarramah</v>
      </c>
      <c r="J453" s="18" t="str">
        <f>F453&amp;", "&amp;E453&amp;", Saudi Arabia"</f>
        <v>الرايم, العرضيات, Saudi Arabia</v>
      </c>
      <c r="K453" s="18">
        <v>19.653218</v>
      </c>
      <c r="L453" s="18">
        <v>41.808531</v>
      </c>
      <c r="M453" s="18">
        <v>2000</v>
      </c>
      <c r="N453" s="18" t="s">
        <v>562</v>
      </c>
    </row>
    <row r="454" ht="15" customHeight="1" spans="1:14" x14ac:dyDescent="0.25">
      <c r="A454" s="11" t="s">
        <v>1477</v>
      </c>
      <c r="B454" s="11">
        <v>2</v>
      </c>
      <c r="C454" s="12" t="s">
        <v>47</v>
      </c>
      <c r="D454" s="11" t="s">
        <v>194</v>
      </c>
      <c r="E454" s="12" t="s">
        <v>195</v>
      </c>
      <c r="F454" s="12" t="s">
        <v>1478</v>
      </c>
      <c r="G454" s="11" t="s">
        <v>113</v>
      </c>
      <c r="H454" s="18" t="str">
        <f>IFERROR(INDEX('المحافظات Governorates'!$E$2:$E$151,MATCH(D454,'المحافظات Governorates'!$A$2:$A$151,0)),"")</f>
        <v>Al-Lith</v>
      </c>
      <c r="I454" s="18" t="str">
        <f>IFERROR(INDEX('المناطق Regions'!$C$2:$C$15,MATCH(B454,'المناطق Regions'!$A$2:$A$15,0)),"")</f>
        <v>Makkah Al-Mukarramah</v>
      </c>
      <c r="J454" s="18" t="str">
        <f>F454&amp;", "&amp;E454&amp;", Saudi Arabia"</f>
        <v>غميقه, الليث, Saudi Arabia</v>
      </c>
      <c r="K454" s="18">
        <v>20.303024</v>
      </c>
      <c r="L454" s="18">
        <v>40.458939</v>
      </c>
      <c r="M454" s="18">
        <v>2000</v>
      </c>
      <c r="N454" s="18" t="s">
        <v>562</v>
      </c>
    </row>
    <row r="455" ht="15" customHeight="1" spans="1:14" x14ac:dyDescent="0.25">
      <c r="A455" s="13" t="s">
        <v>1479</v>
      </c>
      <c r="B455" s="13">
        <v>2</v>
      </c>
      <c r="C455" s="14" t="s">
        <v>47</v>
      </c>
      <c r="D455" s="13" t="s">
        <v>194</v>
      </c>
      <c r="E455" s="14" t="s">
        <v>195</v>
      </c>
      <c r="F455" s="14" t="s">
        <v>1480</v>
      </c>
      <c r="G455" s="13" t="s">
        <v>113</v>
      </c>
      <c r="H455" s="18" t="str">
        <f>IFERROR(INDEX('المحافظات Governorates'!$E$2:$E$151,MATCH(D455,'المحافظات Governorates'!$A$2:$A$151,0)),"")</f>
        <v>Al-Lith</v>
      </c>
      <c r="I455" s="18" t="str">
        <f>IFERROR(INDEX('المناطق Regions'!$C$2:$C$15,MATCH(B455,'المناطق Regions'!$A$2:$A$15,0)),"")</f>
        <v>Makkah Al-Mukarramah</v>
      </c>
      <c r="J455" s="18" t="str">
        <f>F455&amp;", "&amp;E455&amp;", Saudi Arabia"</f>
        <v>الشواق, الليث, Saudi Arabia</v>
      </c>
      <c r="K455" s="18">
        <v>19.920683</v>
      </c>
      <c r="L455" s="18">
        <v>40.740174</v>
      </c>
      <c r="M455" s="18">
        <v>2000</v>
      </c>
      <c r="N455" s="18" t="s">
        <v>562</v>
      </c>
    </row>
    <row r="456" ht="15" customHeight="1" spans="1:14" x14ac:dyDescent="0.25">
      <c r="A456" s="11" t="s">
        <v>1481</v>
      </c>
      <c r="B456" s="11">
        <v>2</v>
      </c>
      <c r="C456" s="12" t="s">
        <v>47</v>
      </c>
      <c r="D456" s="11" t="s">
        <v>194</v>
      </c>
      <c r="E456" s="12" t="s">
        <v>195</v>
      </c>
      <c r="F456" s="12" t="s">
        <v>1482</v>
      </c>
      <c r="G456" s="11" t="s">
        <v>149</v>
      </c>
      <c r="H456" s="18" t="str">
        <f>IFERROR(INDEX('المحافظات Governorates'!$E$2:$E$151,MATCH(D456,'المحافظات Governorates'!$A$2:$A$151,0)),"")</f>
        <v>Al-Lith</v>
      </c>
      <c r="I456" s="18" t="str">
        <f>IFERROR(INDEX('المناطق Regions'!$C$2:$C$15,MATCH(B456,'المناطق Regions'!$A$2:$A$15,0)),"")</f>
        <v>Makkah Al-Mukarramah</v>
      </c>
      <c r="J456" s="18" t="str">
        <f>F456&amp;", "&amp;E456&amp;", Saudi Arabia"</f>
        <v>يلملم, الليث, Saudi Arabia</v>
      </c>
      <c r="K456" s="18">
        <v>20.517148</v>
      </c>
      <c r="L456" s="18">
        <v>39.871099</v>
      </c>
      <c r="M456" s="18">
        <v>2000</v>
      </c>
      <c r="N456" s="18" t="s">
        <v>562</v>
      </c>
    </row>
    <row r="457" ht="15" customHeight="1" spans="1:14" x14ac:dyDescent="0.25">
      <c r="A457" s="13" t="s">
        <v>1483</v>
      </c>
      <c r="B457" s="13">
        <v>2</v>
      </c>
      <c r="C457" s="14" t="s">
        <v>47</v>
      </c>
      <c r="D457" s="13" t="s">
        <v>194</v>
      </c>
      <c r="E457" s="14" t="s">
        <v>195</v>
      </c>
      <c r="F457" s="14" t="s">
        <v>1484</v>
      </c>
      <c r="G457" s="13" t="s">
        <v>113</v>
      </c>
      <c r="H457" s="18" t="str">
        <f>IFERROR(INDEX('المحافظات Governorates'!$E$2:$E$151,MATCH(D457,'المحافظات Governorates'!$A$2:$A$151,0)),"")</f>
        <v>Al-Lith</v>
      </c>
      <c r="I457" s="18" t="str">
        <f>IFERROR(INDEX('المناطق Regions'!$C$2:$C$15,MATCH(B457,'المناطق Regions'!$A$2:$A$15,0)),"")</f>
        <v>Makkah Al-Mukarramah</v>
      </c>
      <c r="J457" s="18" t="str">
        <f>F457&amp;", "&amp;E457&amp;", Saudi Arabia"</f>
        <v>مجمع الطرق, الليث, Saudi Arabia</v>
      </c>
      <c r="K457" s="18">
        <v>20.424206</v>
      </c>
      <c r="L457" s="18">
        <v>40.330362</v>
      </c>
      <c r="M457" s="18">
        <v>104975</v>
      </c>
      <c r="N457" s="18" t="s">
        <v>1485</v>
      </c>
    </row>
    <row r="458" ht="15" customHeight="1" spans="1:14" x14ac:dyDescent="0.25">
      <c r="A458" s="11" t="s">
        <v>1486</v>
      </c>
      <c r="B458" s="11">
        <v>2</v>
      </c>
      <c r="C458" s="12" t="s">
        <v>47</v>
      </c>
      <c r="D458" s="11" t="s">
        <v>194</v>
      </c>
      <c r="E458" s="12" t="s">
        <v>195</v>
      </c>
      <c r="F458" s="12" t="s">
        <v>1487</v>
      </c>
      <c r="G458" s="11" t="s">
        <v>113</v>
      </c>
      <c r="H458" s="18" t="str">
        <f>IFERROR(INDEX('المحافظات Governorates'!$E$2:$E$151,MATCH(D458,'المحافظات Governorates'!$A$2:$A$151,0)),"")</f>
        <v>Al-Lith</v>
      </c>
      <c r="I458" s="18" t="str">
        <f>IFERROR(INDEX('المناطق Regions'!$C$2:$C$15,MATCH(B458,'المناطق Regions'!$A$2:$A$15,0)),"")</f>
        <v>Makkah Al-Mukarramah</v>
      </c>
      <c r="J458" s="18" t="str">
        <f>F458&amp;", "&amp;E458&amp;", Saudi Arabia"</f>
        <v>السعديه, الليث, Saudi Arabia</v>
      </c>
      <c r="K458" s="18">
        <v>20.706229</v>
      </c>
      <c r="L458" s="18">
        <v>39.908668</v>
      </c>
      <c r="M458" s="18">
        <v>2000</v>
      </c>
      <c r="N458" s="18" t="s">
        <v>562</v>
      </c>
    </row>
    <row r="459" ht="15" customHeight="1" spans="1:14" x14ac:dyDescent="0.25">
      <c r="A459" s="13" t="s">
        <v>1488</v>
      </c>
      <c r="B459" s="13">
        <v>2</v>
      </c>
      <c r="C459" s="14" t="s">
        <v>47</v>
      </c>
      <c r="D459" s="13" t="s">
        <v>194</v>
      </c>
      <c r="E459" s="14" t="s">
        <v>195</v>
      </c>
      <c r="F459" s="14" t="s">
        <v>1489</v>
      </c>
      <c r="G459" s="13" t="s">
        <v>149</v>
      </c>
      <c r="H459" s="18" t="str">
        <f>IFERROR(INDEX('المحافظات Governorates'!$E$2:$E$151,MATCH(D459,'المحافظات Governorates'!$A$2:$A$151,0)),"")</f>
        <v>Al-Lith</v>
      </c>
      <c r="I459" s="18" t="str">
        <f>IFERROR(INDEX('المناطق Regions'!$C$2:$C$15,MATCH(B459,'المناطق Regions'!$A$2:$A$15,0)),"")</f>
        <v>Makkah Al-Mukarramah</v>
      </c>
      <c r="J459" s="18" t="str">
        <f>F459&amp;", "&amp;E459&amp;", Saudi Arabia"</f>
        <v>بني يزيد, الليث, Saudi Arabia</v>
      </c>
      <c r="K459" s="18">
        <v>20.721734</v>
      </c>
      <c r="L459" s="18">
        <v>40.563799</v>
      </c>
      <c r="M459" s="18">
        <v>2000</v>
      </c>
      <c r="N459" s="18" t="s">
        <v>562</v>
      </c>
    </row>
    <row r="460" ht="15" customHeight="1" spans="1:14" x14ac:dyDescent="0.25">
      <c r="A460" s="11" t="s">
        <v>1490</v>
      </c>
      <c r="B460" s="11">
        <v>2</v>
      </c>
      <c r="C460" s="12" t="s">
        <v>47</v>
      </c>
      <c r="D460" s="11" t="s">
        <v>194</v>
      </c>
      <c r="E460" s="12" t="s">
        <v>195</v>
      </c>
      <c r="F460" s="12" t="s">
        <v>1491</v>
      </c>
      <c r="G460" s="11" t="s">
        <v>149</v>
      </c>
      <c r="H460" s="18" t="str">
        <f>IFERROR(INDEX('المحافظات Governorates'!$E$2:$E$151,MATCH(D460,'المحافظات Governorates'!$A$2:$A$151,0)),"")</f>
        <v>Al-Lith</v>
      </c>
      <c r="I460" s="18" t="str">
        <f>IFERROR(INDEX('المناطق Regions'!$C$2:$C$15,MATCH(B460,'المناطق Regions'!$A$2:$A$15,0)),"")</f>
        <v>Makkah Al-Mukarramah</v>
      </c>
      <c r="J460" s="18" t="str">
        <f>F460&amp;", "&amp;E460&amp;", Saudi Arabia"</f>
        <v>جذم, الليث, Saudi Arabia</v>
      </c>
      <c r="K460" s="18">
        <v>20.424206</v>
      </c>
      <c r="L460" s="18">
        <v>40.330362</v>
      </c>
      <c r="M460" s="18">
        <v>104975</v>
      </c>
      <c r="N460" s="18" t="s">
        <v>1485</v>
      </c>
    </row>
    <row r="461" ht="15" customHeight="1" spans="1:14" x14ac:dyDescent="0.25">
      <c r="A461" s="13" t="s">
        <v>1492</v>
      </c>
      <c r="B461" s="13">
        <v>2</v>
      </c>
      <c r="C461" s="14" t="s">
        <v>47</v>
      </c>
      <c r="D461" s="13" t="s">
        <v>194</v>
      </c>
      <c r="E461" s="14" t="s">
        <v>195</v>
      </c>
      <c r="F461" s="14" t="s">
        <v>1493</v>
      </c>
      <c r="G461" s="13" t="s">
        <v>149</v>
      </c>
      <c r="H461" s="18" t="str">
        <f>IFERROR(INDEX('المحافظات Governorates'!$E$2:$E$151,MATCH(D461,'المحافظات Governorates'!$A$2:$A$151,0)),"")</f>
        <v>Al-Lith</v>
      </c>
      <c r="I461" s="18" t="str">
        <f>IFERROR(INDEX('المناطق Regions'!$C$2:$C$15,MATCH(B461,'المناطق Regions'!$A$2:$A$15,0)),"")</f>
        <v>Makkah Al-Mukarramah</v>
      </c>
      <c r="J461" s="18" t="str">
        <f>F461&amp;", "&amp;E461&amp;", Saudi Arabia"</f>
        <v>سعيا, الليث, Saudi Arabia</v>
      </c>
      <c r="K461" s="18">
        <v>20.424206</v>
      </c>
      <c r="L461" s="18">
        <v>40.330362</v>
      </c>
      <c r="M461" s="18">
        <v>104975</v>
      </c>
      <c r="N461" s="18" t="s">
        <v>1485</v>
      </c>
    </row>
    <row r="462" ht="15" customHeight="1" spans="1:14" x14ac:dyDescent="0.25">
      <c r="A462" s="11" t="s">
        <v>1494</v>
      </c>
      <c r="B462" s="11">
        <v>2</v>
      </c>
      <c r="C462" s="12" t="s">
        <v>47</v>
      </c>
      <c r="D462" s="11" t="s">
        <v>194</v>
      </c>
      <c r="E462" s="12" t="s">
        <v>195</v>
      </c>
      <c r="F462" s="12" t="s">
        <v>1495</v>
      </c>
      <c r="G462" s="11" t="s">
        <v>149</v>
      </c>
      <c r="H462" s="18" t="str">
        <f>IFERROR(INDEX('المحافظات Governorates'!$E$2:$E$151,MATCH(D462,'المحافظات Governorates'!$A$2:$A$151,0)),"")</f>
        <v>Al-Lith</v>
      </c>
      <c r="I462" s="18" t="str">
        <f>IFERROR(INDEX('المناطق Regions'!$C$2:$C$15,MATCH(B462,'المناطق Regions'!$A$2:$A$15,0)),"")</f>
        <v>Makkah Al-Mukarramah</v>
      </c>
      <c r="J462" s="18" t="str">
        <f>F462&amp;", "&amp;E462&amp;", Saudi Arabia"</f>
        <v>حفار, الليث, Saudi Arabia</v>
      </c>
      <c r="K462" s="18">
        <v>20.424206</v>
      </c>
      <c r="L462" s="18">
        <v>40.330362</v>
      </c>
      <c r="M462" s="18">
        <v>104975</v>
      </c>
      <c r="N462" s="18" t="s">
        <v>1485</v>
      </c>
    </row>
    <row r="463" ht="15" customHeight="1" spans="1:14" x14ac:dyDescent="0.25">
      <c r="A463" s="13" t="s">
        <v>1496</v>
      </c>
      <c r="B463" s="13">
        <v>2</v>
      </c>
      <c r="C463" s="14" t="s">
        <v>47</v>
      </c>
      <c r="D463" s="13" t="s">
        <v>194</v>
      </c>
      <c r="E463" s="14" t="s">
        <v>195</v>
      </c>
      <c r="F463" s="14" t="s">
        <v>1497</v>
      </c>
      <c r="G463" s="13" t="s">
        <v>149</v>
      </c>
      <c r="H463" s="18" t="str">
        <f>IFERROR(INDEX('المحافظات Governorates'!$E$2:$E$151,MATCH(D463,'المحافظات Governorates'!$A$2:$A$151,0)),"")</f>
        <v>Al-Lith</v>
      </c>
      <c r="I463" s="18" t="str">
        <f>IFERROR(INDEX('المناطق Regions'!$C$2:$C$15,MATCH(B463,'المناطق Regions'!$A$2:$A$15,0)),"")</f>
        <v>Makkah Al-Mukarramah</v>
      </c>
      <c r="J463" s="18" t="str">
        <f>F463&amp;", "&amp;E463&amp;", Saudi Arabia"</f>
        <v>صلاق, الليث, Saudi Arabia</v>
      </c>
      <c r="K463" s="18">
        <v>20.424206</v>
      </c>
      <c r="L463" s="18">
        <v>40.330362</v>
      </c>
      <c r="M463" s="18">
        <v>104975</v>
      </c>
      <c r="N463" s="18" t="s">
        <v>1485</v>
      </c>
    </row>
    <row r="464" ht="15" customHeight="1" spans="1:14" x14ac:dyDescent="0.25">
      <c r="A464" s="11" t="s">
        <v>1498</v>
      </c>
      <c r="B464" s="11">
        <v>2</v>
      </c>
      <c r="C464" s="12" t="s">
        <v>47</v>
      </c>
      <c r="D464" s="11" t="s">
        <v>194</v>
      </c>
      <c r="E464" s="12" t="s">
        <v>195</v>
      </c>
      <c r="F464" s="12" t="s">
        <v>1499</v>
      </c>
      <c r="G464" s="11" t="s">
        <v>149</v>
      </c>
      <c r="H464" s="18" t="str">
        <f>IFERROR(INDEX('المحافظات Governorates'!$E$2:$E$151,MATCH(D464,'المحافظات Governorates'!$A$2:$A$151,0)),"")</f>
        <v>Al-Lith</v>
      </c>
      <c r="I464" s="18" t="str">
        <f>IFERROR(INDEX('المناطق Regions'!$C$2:$C$15,MATCH(B464,'المناطق Regions'!$A$2:$A$15,0)),"")</f>
        <v>Makkah Al-Mukarramah</v>
      </c>
      <c r="J464" s="18" t="str">
        <f>F464&amp;", "&amp;E464&amp;", Saudi Arabia"</f>
        <v>الرهوه, الليث, Saudi Arabia</v>
      </c>
      <c r="K464" s="18">
        <v>20.424206</v>
      </c>
      <c r="L464" s="18">
        <v>40.330362</v>
      </c>
      <c r="M464" s="18">
        <v>104975</v>
      </c>
      <c r="N464" s="18" t="s">
        <v>1485</v>
      </c>
    </row>
    <row r="465" ht="15" customHeight="1" spans="1:14" x14ac:dyDescent="0.25">
      <c r="A465" s="13" t="s">
        <v>1500</v>
      </c>
      <c r="B465" s="13">
        <v>2</v>
      </c>
      <c r="C465" s="14" t="s">
        <v>47</v>
      </c>
      <c r="D465" s="13" t="s">
        <v>197</v>
      </c>
      <c r="E465" s="14" t="s">
        <v>198</v>
      </c>
      <c r="F465" s="14" t="s">
        <v>1501</v>
      </c>
      <c r="G465" s="13" t="s">
        <v>113</v>
      </c>
      <c r="H465" s="18" t="str">
        <f>IFERROR(INDEX('المحافظات Governorates'!$E$2:$E$151,MATCH(D465,'المحافظات Governorates'!$A$2:$A$151,0)),"")</f>
        <v>Rabigh</v>
      </c>
      <c r="I465" s="18" t="str">
        <f>IFERROR(INDEX('المناطق Regions'!$C$2:$C$15,MATCH(B465,'المناطق Regions'!$A$2:$A$15,0)),"")</f>
        <v>Makkah Al-Mukarramah</v>
      </c>
      <c r="J465" s="18" t="str">
        <f>F465&amp;", "&amp;E465&amp;", Saudi Arabia"</f>
        <v>حجر, رابغ, Saudi Arabia</v>
      </c>
      <c r="K465" s="18">
        <v>23.013704</v>
      </c>
      <c r="L465" s="18">
        <v>39.731476</v>
      </c>
      <c r="M465" s="18">
        <v>2000</v>
      </c>
      <c r="N465" s="18" t="s">
        <v>562</v>
      </c>
    </row>
    <row r="466" ht="15" customHeight="1" spans="1:14" x14ac:dyDescent="0.25">
      <c r="A466" s="11" t="s">
        <v>1502</v>
      </c>
      <c r="B466" s="11">
        <v>2</v>
      </c>
      <c r="C466" s="12" t="s">
        <v>47</v>
      </c>
      <c r="D466" s="11" t="s">
        <v>197</v>
      </c>
      <c r="E466" s="12" t="s">
        <v>198</v>
      </c>
      <c r="F466" s="12" t="s">
        <v>1503</v>
      </c>
      <c r="G466" s="11" t="s">
        <v>113</v>
      </c>
      <c r="H466" s="18" t="str">
        <f>IFERROR(INDEX('المحافظات Governorates'!$E$2:$E$151,MATCH(D466,'المحافظات Governorates'!$A$2:$A$151,0)),"")</f>
        <v>Rabigh</v>
      </c>
      <c r="I466" s="18" t="str">
        <f>IFERROR(INDEX('المناطق Regions'!$C$2:$C$15,MATCH(B466,'المناطق Regions'!$A$2:$A$15,0)),"")</f>
        <v>Makkah Al-Mukarramah</v>
      </c>
      <c r="J466" s="18" t="str">
        <f>F466&amp;", "&amp;E466&amp;", Saudi Arabia"</f>
        <v>مستوره, رابغ, Saudi Arabia</v>
      </c>
      <c r="K466" s="18">
        <v>23.115132</v>
      </c>
      <c r="L466" s="18">
        <v>38.841644</v>
      </c>
      <c r="M466" s="18">
        <v>2000</v>
      </c>
      <c r="N466" s="18" t="s">
        <v>562</v>
      </c>
    </row>
    <row r="467" ht="15" customHeight="1" spans="1:14" x14ac:dyDescent="0.25">
      <c r="A467" s="13" t="s">
        <v>1504</v>
      </c>
      <c r="B467" s="13">
        <v>2</v>
      </c>
      <c r="C467" s="14" t="s">
        <v>47</v>
      </c>
      <c r="D467" s="13" t="s">
        <v>197</v>
      </c>
      <c r="E467" s="14" t="s">
        <v>198</v>
      </c>
      <c r="F467" s="14" t="s">
        <v>1505</v>
      </c>
      <c r="G467" s="13" t="s">
        <v>149</v>
      </c>
      <c r="H467" s="18" t="str">
        <f>IFERROR(INDEX('المحافظات Governorates'!$E$2:$E$151,MATCH(D467,'المحافظات Governorates'!$A$2:$A$151,0)),"")</f>
        <v>Rabigh</v>
      </c>
      <c r="I467" s="18" t="str">
        <f>IFERROR(INDEX('المناطق Regions'!$C$2:$C$15,MATCH(B467,'المناطق Regions'!$A$2:$A$15,0)),"")</f>
        <v>Makkah Al-Mukarramah</v>
      </c>
      <c r="J467" s="18" t="str">
        <f>F467&amp;", "&amp;E467&amp;", Saudi Arabia"</f>
        <v>النويبع, رابغ, Saudi Arabia</v>
      </c>
      <c r="K467" s="18">
        <v>22.913432</v>
      </c>
      <c r="L467" s="18">
        <v>39.23489</v>
      </c>
      <c r="M467" s="18">
        <v>91198</v>
      </c>
      <c r="N467" s="18" t="s">
        <v>1506</v>
      </c>
    </row>
    <row r="468" ht="15" customHeight="1" spans="1:14" x14ac:dyDescent="0.25">
      <c r="A468" s="11" t="s">
        <v>1507</v>
      </c>
      <c r="B468" s="11">
        <v>2</v>
      </c>
      <c r="C468" s="12" t="s">
        <v>47</v>
      </c>
      <c r="D468" s="11" t="s">
        <v>197</v>
      </c>
      <c r="E468" s="12" t="s">
        <v>198</v>
      </c>
      <c r="F468" s="12" t="s">
        <v>1508</v>
      </c>
      <c r="G468" s="11" t="s">
        <v>113</v>
      </c>
      <c r="H468" s="18" t="str">
        <f>IFERROR(INDEX('المحافظات Governorates'!$E$2:$E$151,MATCH(D468,'المحافظات Governorates'!$A$2:$A$151,0)),"")</f>
        <v>Rabigh</v>
      </c>
      <c r="I468" s="18" t="str">
        <f>IFERROR(INDEX('المناطق Regions'!$C$2:$C$15,MATCH(B468,'المناطق Regions'!$A$2:$A$15,0)),"")</f>
        <v>Makkah Al-Mukarramah</v>
      </c>
      <c r="J468" s="18" t="str">
        <f>F468&amp;", "&amp;E468&amp;", Saudi Arabia"</f>
        <v>القضيمه, رابغ, Saudi Arabia</v>
      </c>
      <c r="K468" s="18">
        <v>22.35074</v>
      </c>
      <c r="L468" s="18">
        <v>39.15478</v>
      </c>
      <c r="M468" s="18">
        <v>2000</v>
      </c>
      <c r="N468" s="18" t="s">
        <v>562</v>
      </c>
    </row>
    <row r="469" ht="15" customHeight="1" spans="1:14" x14ac:dyDescent="0.25">
      <c r="A469" s="13" t="s">
        <v>1509</v>
      </c>
      <c r="B469" s="13">
        <v>2</v>
      </c>
      <c r="C469" s="14" t="s">
        <v>47</v>
      </c>
      <c r="D469" s="13" t="s">
        <v>197</v>
      </c>
      <c r="E469" s="14" t="s">
        <v>198</v>
      </c>
      <c r="F469" s="14" t="s">
        <v>1510</v>
      </c>
      <c r="G469" s="13" t="s">
        <v>113</v>
      </c>
      <c r="H469" s="18" t="str">
        <f>IFERROR(INDEX('المحافظات Governorates'!$E$2:$E$151,MATCH(D469,'المحافظات Governorates'!$A$2:$A$151,0)),"")</f>
        <v>Rabigh</v>
      </c>
      <c r="I469" s="18" t="str">
        <f>IFERROR(INDEX('المناطق Regions'!$C$2:$C$15,MATCH(B469,'المناطق Regions'!$A$2:$A$15,0)),"")</f>
        <v>Makkah Al-Mukarramah</v>
      </c>
      <c r="J469" s="18" t="str">
        <f>F469&amp;", "&amp;E469&amp;", Saudi Arabia"</f>
        <v>الابواء, رابغ, Saudi Arabia</v>
      </c>
      <c r="K469" s="18">
        <v>23.108569</v>
      </c>
      <c r="L469" s="18">
        <v>39.071245</v>
      </c>
      <c r="M469" s="18">
        <v>2000</v>
      </c>
      <c r="N469" s="18" t="s">
        <v>562</v>
      </c>
    </row>
    <row r="470" ht="15" customHeight="1" spans="1:14" x14ac:dyDescent="0.25">
      <c r="A470" s="11" t="s">
        <v>1511</v>
      </c>
      <c r="B470" s="11">
        <v>2</v>
      </c>
      <c r="C470" s="12" t="s">
        <v>47</v>
      </c>
      <c r="D470" s="11" t="s">
        <v>197</v>
      </c>
      <c r="E470" s="12" t="s">
        <v>198</v>
      </c>
      <c r="F470" s="12" t="s">
        <v>1512</v>
      </c>
      <c r="G470" s="11" t="s">
        <v>149</v>
      </c>
      <c r="H470" s="18" t="str">
        <f>IFERROR(INDEX('المحافظات Governorates'!$E$2:$E$151,MATCH(D470,'المحافظات Governorates'!$A$2:$A$151,0)),"")</f>
        <v>Rabigh</v>
      </c>
      <c r="I470" s="18" t="str">
        <f>IFERROR(INDEX('المناطق Regions'!$C$2:$C$15,MATCH(B470,'المناطق Regions'!$A$2:$A$15,0)),"")</f>
        <v>Makkah Al-Mukarramah</v>
      </c>
      <c r="J470" s="18" t="str">
        <f>F470&amp;", "&amp;E470&amp;", Saudi Arabia"</f>
        <v>مغينيه, رابغ, Saudi Arabia</v>
      </c>
      <c r="K470" s="18">
        <v>22.913432</v>
      </c>
      <c r="L470" s="18">
        <v>39.23489</v>
      </c>
      <c r="M470" s="18">
        <v>91198</v>
      </c>
      <c r="N470" s="18" t="s">
        <v>1506</v>
      </c>
    </row>
    <row r="471" ht="15" customHeight="1" spans="1:14" x14ac:dyDescent="0.25">
      <c r="A471" s="13" t="s">
        <v>1513</v>
      </c>
      <c r="B471" s="13">
        <v>2</v>
      </c>
      <c r="C471" s="14" t="s">
        <v>47</v>
      </c>
      <c r="D471" s="13" t="s">
        <v>200</v>
      </c>
      <c r="E471" s="14" t="s">
        <v>201</v>
      </c>
      <c r="F471" s="14" t="s">
        <v>1514</v>
      </c>
      <c r="G471" s="13" t="s">
        <v>113</v>
      </c>
      <c r="H471" s="18" t="str">
        <f>IFERROR(INDEX('المحافظات Governorates'!$E$2:$E$151,MATCH(D471,'المحافظات Governorates'!$A$2:$A$151,0)),"")</f>
        <v>Al-Jumum</v>
      </c>
      <c r="I471" s="18" t="str">
        <f>IFERROR(INDEX('المناطق Regions'!$C$2:$C$15,MATCH(B471,'المناطق Regions'!$A$2:$A$15,0)),"")</f>
        <v>Makkah Al-Mukarramah</v>
      </c>
      <c r="J471" s="18" t="str">
        <f>F471&amp;", "&amp;E471&amp;", Saudi Arabia"</f>
        <v>عسفان, الجموم, Saudi Arabia</v>
      </c>
      <c r="K471" s="18">
        <v>21.922449</v>
      </c>
      <c r="L471" s="18">
        <v>39.353566</v>
      </c>
      <c r="M471" s="18">
        <v>2000</v>
      </c>
      <c r="N471" s="18" t="s">
        <v>562</v>
      </c>
    </row>
    <row r="472" ht="15" customHeight="1" spans="1:14" x14ac:dyDescent="0.25">
      <c r="A472" s="11" t="s">
        <v>1515</v>
      </c>
      <c r="B472" s="11">
        <v>2</v>
      </c>
      <c r="C472" s="12" t="s">
        <v>47</v>
      </c>
      <c r="D472" s="11" t="s">
        <v>200</v>
      </c>
      <c r="E472" s="12" t="s">
        <v>201</v>
      </c>
      <c r="F472" s="12" t="s">
        <v>1516</v>
      </c>
      <c r="G472" s="11" t="s">
        <v>113</v>
      </c>
      <c r="H472" s="18" t="str">
        <f>IFERROR(INDEX('المحافظات Governorates'!$E$2:$E$151,MATCH(D472,'المحافظات Governorates'!$A$2:$A$151,0)),"")</f>
        <v>Al-Jumum</v>
      </c>
      <c r="I472" s="18" t="str">
        <f>IFERROR(INDEX('المناطق Regions'!$C$2:$C$15,MATCH(B472,'المناطق Regions'!$A$2:$A$15,0)),"")</f>
        <v>Makkah Al-Mukarramah</v>
      </c>
      <c r="J472" s="18" t="str">
        <f>F472&amp;", "&amp;E472&amp;", Saudi Arabia"</f>
        <v>مدركه, الجموم, Saudi Arabia</v>
      </c>
      <c r="K472" s="18">
        <v>21.98702</v>
      </c>
      <c r="L472" s="18">
        <v>39.99442</v>
      </c>
      <c r="M472" s="18">
        <v>2000</v>
      </c>
      <c r="N472" s="18" t="s">
        <v>562</v>
      </c>
    </row>
    <row r="473" ht="15" customHeight="1" spans="1:14" x14ac:dyDescent="0.25">
      <c r="A473" s="13" t="s">
        <v>1517</v>
      </c>
      <c r="B473" s="13">
        <v>2</v>
      </c>
      <c r="C473" s="14" t="s">
        <v>47</v>
      </c>
      <c r="D473" s="13" t="s">
        <v>200</v>
      </c>
      <c r="E473" s="14" t="s">
        <v>201</v>
      </c>
      <c r="F473" s="14" t="s">
        <v>1518</v>
      </c>
      <c r="G473" s="13" t="s">
        <v>113</v>
      </c>
      <c r="H473" s="18" t="str">
        <f>IFERROR(INDEX('المحافظات Governorates'!$E$2:$E$151,MATCH(D473,'المحافظات Governorates'!$A$2:$A$151,0)),"")</f>
        <v>Al-Jumum</v>
      </c>
      <c r="I473" s="18" t="str">
        <f>IFERROR(INDEX('المناطق Regions'!$C$2:$C$15,MATCH(B473,'المناطق Regions'!$A$2:$A$15,0)),"")</f>
        <v>Makkah Al-Mukarramah</v>
      </c>
      <c r="J473" s="18" t="str">
        <f>F473&amp;", "&amp;E473&amp;", Saudi Arabia"</f>
        <v>هدى الشام, الجموم, Saudi Arabia</v>
      </c>
      <c r="K473" s="18">
        <v>21.796667</v>
      </c>
      <c r="L473" s="18">
        <v>39.683333</v>
      </c>
      <c r="M473" s="18">
        <v>2000</v>
      </c>
      <c r="N473" s="18" t="s">
        <v>562</v>
      </c>
    </row>
    <row r="474" ht="15" customHeight="1" spans="1:14" x14ac:dyDescent="0.25">
      <c r="A474" s="11" t="s">
        <v>1519</v>
      </c>
      <c r="B474" s="11">
        <v>2</v>
      </c>
      <c r="C474" s="12" t="s">
        <v>47</v>
      </c>
      <c r="D474" s="11" t="s">
        <v>200</v>
      </c>
      <c r="E474" s="12" t="s">
        <v>201</v>
      </c>
      <c r="F474" s="12" t="s">
        <v>1520</v>
      </c>
      <c r="G474" s="11" t="s">
        <v>113</v>
      </c>
      <c r="H474" s="18" t="str">
        <f>IFERROR(INDEX('المحافظات Governorates'!$E$2:$E$151,MATCH(D474,'المحافظات Governorates'!$A$2:$A$151,0)),"")</f>
        <v>Al-Jumum</v>
      </c>
      <c r="I474" s="18" t="str">
        <f>IFERROR(INDEX('المناطق Regions'!$C$2:$C$15,MATCH(B474,'المناطق Regions'!$A$2:$A$15,0)),"")</f>
        <v>Makkah Al-Mukarramah</v>
      </c>
      <c r="J474" s="18" t="str">
        <f>F474&amp;", "&amp;E474&amp;", Saudi Arabia"</f>
        <v>رهاط, الجموم, Saudi Arabia</v>
      </c>
      <c r="K474" s="18">
        <v>22.086838</v>
      </c>
      <c r="L474" s="18">
        <v>40.018689</v>
      </c>
      <c r="M474" s="18">
        <v>2000</v>
      </c>
      <c r="N474" s="18" t="s">
        <v>562</v>
      </c>
    </row>
    <row r="475" ht="15" customHeight="1" spans="1:14" x14ac:dyDescent="0.25">
      <c r="A475" s="13" t="s">
        <v>1521</v>
      </c>
      <c r="B475" s="13">
        <v>2</v>
      </c>
      <c r="C475" s="14" t="s">
        <v>47</v>
      </c>
      <c r="D475" s="13" t="s">
        <v>200</v>
      </c>
      <c r="E475" s="14" t="s">
        <v>201</v>
      </c>
      <c r="F475" s="14" t="s">
        <v>1522</v>
      </c>
      <c r="G475" s="13" t="s">
        <v>149</v>
      </c>
      <c r="H475" s="18" t="str">
        <f>IFERROR(INDEX('المحافظات Governorates'!$E$2:$E$151,MATCH(D475,'المحافظات Governorates'!$A$2:$A$151,0)),"")</f>
        <v>Al-Jumum</v>
      </c>
      <c r="I475" s="18" t="str">
        <f>IFERROR(INDEX('المناطق Regions'!$C$2:$C$15,MATCH(B475,'المناطق Regions'!$A$2:$A$15,0)),"")</f>
        <v>Makkah Al-Mukarramah</v>
      </c>
      <c r="J475" s="18" t="str">
        <f>F475&amp;", "&amp;E475&amp;", Saudi Arabia"</f>
        <v>بني مسعود, الجموم, Saudi Arabia</v>
      </c>
      <c r="K475" s="18">
        <v>21.847827</v>
      </c>
      <c r="L475" s="18">
        <v>40.145893</v>
      </c>
      <c r="M475" s="18">
        <v>2000</v>
      </c>
      <c r="N475" s="18" t="s">
        <v>562</v>
      </c>
    </row>
    <row r="476" ht="15" customHeight="1" spans="1:14" x14ac:dyDescent="0.25">
      <c r="A476" s="11" t="s">
        <v>1523</v>
      </c>
      <c r="B476" s="11">
        <v>2</v>
      </c>
      <c r="C476" s="12" t="s">
        <v>47</v>
      </c>
      <c r="D476" s="11" t="s">
        <v>200</v>
      </c>
      <c r="E476" s="12" t="s">
        <v>201</v>
      </c>
      <c r="F476" s="12" t="s">
        <v>1524</v>
      </c>
      <c r="G476" s="11" t="s">
        <v>113</v>
      </c>
      <c r="H476" s="18" t="str">
        <f>IFERROR(INDEX('المحافظات Governorates'!$E$2:$E$151,MATCH(D476,'المحافظات Governorates'!$A$2:$A$151,0)),"")</f>
        <v>Al-Jumum</v>
      </c>
      <c r="I476" s="18" t="str">
        <f>IFERROR(INDEX('المناطق Regions'!$C$2:$C$15,MATCH(B476,'المناطق Regions'!$A$2:$A$15,0)),"")</f>
        <v>Makkah Al-Mukarramah</v>
      </c>
      <c r="J476" s="18" t="str">
        <f>F476&amp;", "&amp;E476&amp;", Saudi Arabia"</f>
        <v>عين شمس, الجموم, Saudi Arabia</v>
      </c>
      <c r="K476" s="18">
        <v>21.645472</v>
      </c>
      <c r="L476" s="18">
        <v>39.761862</v>
      </c>
      <c r="M476" s="18">
        <v>2000</v>
      </c>
      <c r="N476" s="18" t="s">
        <v>562</v>
      </c>
    </row>
    <row r="477" ht="15" customHeight="1" spans="1:14" x14ac:dyDescent="0.25">
      <c r="A477" s="13" t="s">
        <v>1525</v>
      </c>
      <c r="B477" s="13">
        <v>2</v>
      </c>
      <c r="C477" s="14" t="s">
        <v>47</v>
      </c>
      <c r="D477" s="13" t="s">
        <v>200</v>
      </c>
      <c r="E477" s="14" t="s">
        <v>201</v>
      </c>
      <c r="F477" s="14" t="s">
        <v>1526</v>
      </c>
      <c r="G477" s="13" t="s">
        <v>113</v>
      </c>
      <c r="H477" s="18" t="str">
        <f>IFERROR(INDEX('المحافظات Governorates'!$E$2:$E$151,MATCH(D477,'المحافظات Governorates'!$A$2:$A$151,0)),"")</f>
        <v>Al-Jumum</v>
      </c>
      <c r="I477" s="18" t="str">
        <f>IFERROR(INDEX('المناطق Regions'!$C$2:$C$15,MATCH(B477,'المناطق Regions'!$A$2:$A$15,0)),"")</f>
        <v>Makkah Al-Mukarramah</v>
      </c>
      <c r="J477" s="18" t="str">
        <f>F477&amp;", "&amp;E477&amp;", Saudi Arabia"</f>
        <v>الريان, الجموم, Saudi Arabia</v>
      </c>
      <c r="K477" s="18">
        <v>21.67869</v>
      </c>
      <c r="L477" s="18">
        <v>39.8978</v>
      </c>
      <c r="M477" s="18">
        <v>2000</v>
      </c>
      <c r="N477" s="18" t="s">
        <v>562</v>
      </c>
    </row>
    <row r="478" ht="15" customHeight="1" spans="1:14" x14ac:dyDescent="0.25">
      <c r="A478" s="11" t="s">
        <v>1527</v>
      </c>
      <c r="B478" s="11">
        <v>2</v>
      </c>
      <c r="C478" s="12" t="s">
        <v>47</v>
      </c>
      <c r="D478" s="11" t="s">
        <v>200</v>
      </c>
      <c r="E478" s="12" t="s">
        <v>201</v>
      </c>
      <c r="F478" s="12" t="s">
        <v>1528</v>
      </c>
      <c r="G478" s="11" t="s">
        <v>149</v>
      </c>
      <c r="H478" s="18" t="str">
        <f>IFERROR(INDEX('المحافظات Governorates'!$E$2:$E$151,MATCH(D478,'المحافظات Governorates'!$A$2:$A$151,0)),"")</f>
        <v>Al-Jumum</v>
      </c>
      <c r="I478" s="18" t="str">
        <f>IFERROR(INDEX('المناطق Regions'!$C$2:$C$15,MATCH(B478,'المناطق Regions'!$A$2:$A$15,0)),"")</f>
        <v>Makkah Al-Mukarramah</v>
      </c>
      <c r="J478" s="18" t="str">
        <f>F478&amp;", "&amp;E478&amp;", Saudi Arabia"</f>
        <v>القفيف, الجموم, Saudi Arabia</v>
      </c>
      <c r="K478" s="18">
        <v>21.825562</v>
      </c>
      <c r="L478" s="18">
        <v>40.446455</v>
      </c>
      <c r="M478" s="18">
        <v>2000</v>
      </c>
      <c r="N478" s="18" t="s">
        <v>562</v>
      </c>
    </row>
    <row r="479" ht="15" customHeight="1" spans="1:14" x14ac:dyDescent="0.25">
      <c r="A479" s="13" t="s">
        <v>1529</v>
      </c>
      <c r="B479" s="13">
        <v>2</v>
      </c>
      <c r="C479" s="14" t="s">
        <v>47</v>
      </c>
      <c r="D479" s="13" t="s">
        <v>203</v>
      </c>
      <c r="E479" s="14" t="s">
        <v>204</v>
      </c>
      <c r="F479" s="14" t="s">
        <v>1530</v>
      </c>
      <c r="G479" s="13" t="s">
        <v>113</v>
      </c>
      <c r="H479" s="18" t="str">
        <f>IFERROR(INDEX('المحافظات Governorates'!$E$2:$E$151,MATCH(D479,'المحافظات Governorates'!$A$2:$A$151,0)),"")</f>
        <v>Khulais</v>
      </c>
      <c r="I479" s="18" t="str">
        <f>IFERROR(INDEX('المناطق Regions'!$C$2:$C$15,MATCH(B479,'المناطق Regions'!$A$2:$A$15,0)),"")</f>
        <v>Makkah Al-Mukarramah</v>
      </c>
      <c r="J479" s="18" t="str">
        <f>F479&amp;", "&amp;E479&amp;", Saudi Arabia"</f>
        <v>الظبيه والجمعه, خليص, Saudi Arabia</v>
      </c>
      <c r="K479" s="18">
        <v>22.286792</v>
      </c>
      <c r="L479" s="18">
        <v>39.578381</v>
      </c>
      <c r="M479" s="18">
        <v>40000</v>
      </c>
      <c r="N479" s="18" t="s">
        <v>1130</v>
      </c>
    </row>
    <row r="480" ht="15" customHeight="1" spans="1:14" x14ac:dyDescent="0.25">
      <c r="A480" s="11" t="s">
        <v>1531</v>
      </c>
      <c r="B480" s="11">
        <v>2</v>
      </c>
      <c r="C480" s="12" t="s">
        <v>47</v>
      </c>
      <c r="D480" s="11" t="s">
        <v>203</v>
      </c>
      <c r="E480" s="12" t="s">
        <v>204</v>
      </c>
      <c r="F480" s="12" t="s">
        <v>1532</v>
      </c>
      <c r="G480" s="11" t="s">
        <v>113</v>
      </c>
      <c r="H480" s="18" t="str">
        <f>IFERROR(INDEX('المحافظات Governorates'!$E$2:$E$151,MATCH(D480,'المحافظات Governorates'!$A$2:$A$151,0)),"")</f>
        <v>Khulais</v>
      </c>
      <c r="I480" s="18" t="str">
        <f>IFERROR(INDEX('المناطق Regions'!$C$2:$C$15,MATCH(B480,'المناطق Regions'!$A$2:$A$15,0)),"")</f>
        <v>Makkah Al-Mukarramah</v>
      </c>
      <c r="J480" s="18" t="str">
        <f>F480&amp;", "&amp;E480&amp;", Saudi Arabia"</f>
        <v>وادي قديد, خليص, Saudi Arabia</v>
      </c>
      <c r="K480" s="18">
        <v>22.310843</v>
      </c>
      <c r="L480" s="18">
        <v>39.309564</v>
      </c>
      <c r="M480" s="18">
        <v>2000</v>
      </c>
      <c r="N480" s="18" t="s">
        <v>642</v>
      </c>
    </row>
    <row r="481" ht="15" customHeight="1" spans="1:14" x14ac:dyDescent="0.25">
      <c r="A481" s="13" t="s">
        <v>1533</v>
      </c>
      <c r="B481" s="13">
        <v>2</v>
      </c>
      <c r="C481" s="14" t="s">
        <v>47</v>
      </c>
      <c r="D481" s="13" t="s">
        <v>203</v>
      </c>
      <c r="E481" s="14" t="s">
        <v>204</v>
      </c>
      <c r="F481" s="14" t="s">
        <v>1534</v>
      </c>
      <c r="G481" s="13" t="s">
        <v>113</v>
      </c>
      <c r="H481" s="18" t="str">
        <f>IFERROR(INDEX('المحافظات Governorates'!$E$2:$E$151,MATCH(D481,'المحافظات Governorates'!$A$2:$A$151,0)),"")</f>
        <v>Khulais</v>
      </c>
      <c r="I481" s="18" t="str">
        <f>IFERROR(INDEX('المناطق Regions'!$C$2:$C$15,MATCH(B481,'المناطق Regions'!$A$2:$A$15,0)),"")</f>
        <v>Makkah Al-Mukarramah</v>
      </c>
      <c r="J481" s="18" t="str">
        <f>F481&amp;", "&amp;E481&amp;", Saudi Arabia"</f>
        <v>ام الجرم, خليص, Saudi Arabia</v>
      </c>
      <c r="K481" s="18">
        <v>21.957882</v>
      </c>
      <c r="L481" s="18">
        <v>39.460445</v>
      </c>
      <c r="M481" s="18">
        <v>2000</v>
      </c>
      <c r="N481" s="18" t="s">
        <v>642</v>
      </c>
    </row>
    <row r="482" ht="15" customHeight="1" spans="1:14" x14ac:dyDescent="0.25">
      <c r="A482" s="11" t="s">
        <v>1535</v>
      </c>
      <c r="B482" s="11">
        <v>2</v>
      </c>
      <c r="C482" s="12" t="s">
        <v>47</v>
      </c>
      <c r="D482" s="11" t="s">
        <v>203</v>
      </c>
      <c r="E482" s="12" t="s">
        <v>204</v>
      </c>
      <c r="F482" s="12" t="s">
        <v>1536</v>
      </c>
      <c r="G482" s="11" t="s">
        <v>113</v>
      </c>
      <c r="H482" s="18" t="str">
        <f>IFERROR(INDEX('المحافظات Governorates'!$E$2:$E$151,MATCH(D482,'المحافظات Governorates'!$A$2:$A$151,0)),"")</f>
        <v>Khulais</v>
      </c>
      <c r="I482" s="18" t="str">
        <f>IFERROR(INDEX('المناطق Regions'!$C$2:$C$15,MATCH(B482,'المناطق Regions'!$A$2:$A$15,0)),"")</f>
        <v>Makkah Al-Mukarramah</v>
      </c>
      <c r="J482" s="18" t="str">
        <f>F482&amp;", "&amp;E482&amp;", Saudi Arabia"</f>
        <v>الخوار, خليص, Saudi Arabia</v>
      </c>
      <c r="K482" s="18">
        <v>22.170556</v>
      </c>
      <c r="L482" s="18">
        <v>39.550556</v>
      </c>
      <c r="M482" s="18">
        <v>2000</v>
      </c>
      <c r="N482" s="18" t="s">
        <v>642</v>
      </c>
    </row>
    <row r="483" ht="15" customHeight="1" spans="1:14" x14ac:dyDescent="0.25">
      <c r="A483" s="13" t="s">
        <v>1537</v>
      </c>
      <c r="B483" s="13">
        <v>2</v>
      </c>
      <c r="C483" s="14" t="s">
        <v>47</v>
      </c>
      <c r="D483" s="13" t="s">
        <v>203</v>
      </c>
      <c r="E483" s="14" t="s">
        <v>204</v>
      </c>
      <c r="F483" s="14" t="s">
        <v>914</v>
      </c>
      <c r="G483" s="13" t="s">
        <v>113</v>
      </c>
      <c r="H483" s="18" t="str">
        <f>IFERROR(INDEX('المحافظات Governorates'!$E$2:$E$151,MATCH(D483,'المحافظات Governorates'!$A$2:$A$151,0)),"")</f>
        <v>Khulais</v>
      </c>
      <c r="I483" s="18" t="str">
        <f>IFERROR(INDEX('المناطق Regions'!$C$2:$C$15,MATCH(B483,'المناطق Regions'!$A$2:$A$15,0)),"")</f>
        <v>Makkah Al-Mukarramah</v>
      </c>
      <c r="J483" s="18" t="str">
        <f>F483&amp;", "&amp;E483&amp;", Saudi Arabia"</f>
        <v>البرزه, خليص, Saudi Arabia</v>
      </c>
      <c r="K483" s="18">
        <v>22.286792</v>
      </c>
      <c r="L483" s="18">
        <v>39.578381</v>
      </c>
      <c r="M483" s="18">
        <v>40000</v>
      </c>
      <c r="N483" s="18" t="s">
        <v>1130</v>
      </c>
    </row>
    <row r="484" ht="15" customHeight="1" spans="1:14" x14ac:dyDescent="0.25">
      <c r="A484" s="11" t="s">
        <v>1538</v>
      </c>
      <c r="B484" s="11">
        <v>2</v>
      </c>
      <c r="C484" s="12" t="s">
        <v>47</v>
      </c>
      <c r="D484" s="11" t="s">
        <v>203</v>
      </c>
      <c r="E484" s="12" t="s">
        <v>204</v>
      </c>
      <c r="F484" s="12" t="s">
        <v>1059</v>
      </c>
      <c r="G484" s="11" t="s">
        <v>113</v>
      </c>
      <c r="H484" s="18" t="str">
        <f>IFERROR(INDEX('المحافظات Governorates'!$E$2:$E$151,MATCH(D484,'المحافظات Governorates'!$A$2:$A$151,0)),"")</f>
        <v>Khulais</v>
      </c>
      <c r="I484" s="18" t="str">
        <f>IFERROR(INDEX('المناطق Regions'!$C$2:$C$15,MATCH(B484,'المناطق Regions'!$A$2:$A$15,0)),"")</f>
        <v>Makkah Al-Mukarramah</v>
      </c>
      <c r="J484" s="18" t="str">
        <f>F484&amp;", "&amp;E484&amp;", Saudi Arabia"</f>
        <v>ستاره, خليص, Saudi Arabia</v>
      </c>
      <c r="K484" s="18">
        <v>22.286792</v>
      </c>
      <c r="L484" s="18">
        <v>39.578381</v>
      </c>
      <c r="M484" s="18">
        <v>40000</v>
      </c>
      <c r="N484" s="18" t="s">
        <v>1130</v>
      </c>
    </row>
    <row r="485" ht="15" customHeight="1" spans="1:14" x14ac:dyDescent="0.25">
      <c r="A485" s="13" t="s">
        <v>1539</v>
      </c>
      <c r="B485" s="13">
        <v>2</v>
      </c>
      <c r="C485" s="14" t="s">
        <v>47</v>
      </c>
      <c r="D485" s="13" t="s">
        <v>203</v>
      </c>
      <c r="E485" s="14" t="s">
        <v>204</v>
      </c>
      <c r="F485" s="14" t="s">
        <v>1540</v>
      </c>
      <c r="G485" s="13" t="s">
        <v>149</v>
      </c>
      <c r="H485" s="18" t="str">
        <f>IFERROR(INDEX('المحافظات Governorates'!$E$2:$E$151,MATCH(D485,'المحافظات Governorates'!$A$2:$A$151,0)),"")</f>
        <v>Khulais</v>
      </c>
      <c r="I485" s="18" t="str">
        <f>IFERROR(INDEX('المناطق Regions'!$C$2:$C$15,MATCH(B485,'المناطق Regions'!$A$2:$A$15,0)),"")</f>
        <v>Makkah Al-Mukarramah</v>
      </c>
      <c r="J485" s="18" t="str">
        <f>F485&amp;", "&amp;E485&amp;", Saudi Arabia"</f>
        <v>حشاش, خليص, Saudi Arabia</v>
      </c>
      <c r="K485" s="18">
        <v>21.93659</v>
      </c>
      <c r="L485" s="18">
        <v>39.89968</v>
      </c>
      <c r="M485" s="18">
        <v>2000</v>
      </c>
      <c r="N485" s="18" t="s">
        <v>642</v>
      </c>
    </row>
    <row r="486" ht="15" customHeight="1" spans="1:14" x14ac:dyDescent="0.25">
      <c r="A486" s="11" t="s">
        <v>1541</v>
      </c>
      <c r="B486" s="11">
        <v>2</v>
      </c>
      <c r="C486" s="12" t="s">
        <v>47</v>
      </c>
      <c r="D486" s="11" t="s">
        <v>203</v>
      </c>
      <c r="E486" s="12" t="s">
        <v>204</v>
      </c>
      <c r="F486" s="12" t="s">
        <v>1542</v>
      </c>
      <c r="G486" s="11" t="s">
        <v>149</v>
      </c>
      <c r="H486" s="18" t="str">
        <f>IFERROR(INDEX('المحافظات Governorates'!$E$2:$E$151,MATCH(D486,'المحافظات Governorates'!$A$2:$A$151,0)),"")</f>
        <v>Khulais</v>
      </c>
      <c r="I486" s="18" t="str">
        <f>IFERROR(INDEX('المناطق Regions'!$C$2:$C$15,MATCH(B486,'المناطق Regions'!$A$2:$A$15,0)),"")</f>
        <v>Makkah Al-Mukarramah</v>
      </c>
      <c r="J486" s="18" t="str">
        <f>F486&amp;", "&amp;E486&amp;", Saudi Arabia"</f>
        <v>السهم, خليص, Saudi Arabia</v>
      </c>
      <c r="K486" s="18">
        <v>21.989137</v>
      </c>
      <c r="L486" s="18">
        <v>39.539243</v>
      </c>
      <c r="M486" s="18">
        <v>2000</v>
      </c>
      <c r="N486" s="18" t="s">
        <v>642</v>
      </c>
    </row>
    <row r="487" ht="15" customHeight="1" spans="1:14" x14ac:dyDescent="0.25">
      <c r="A487" s="13" t="s">
        <v>1543</v>
      </c>
      <c r="B487" s="13">
        <v>2</v>
      </c>
      <c r="C487" s="14" t="s">
        <v>47</v>
      </c>
      <c r="D487" s="13" t="s">
        <v>203</v>
      </c>
      <c r="E487" s="14" t="s">
        <v>204</v>
      </c>
      <c r="F487" s="14" t="s">
        <v>1544</v>
      </c>
      <c r="G487" s="13" t="s">
        <v>149</v>
      </c>
      <c r="H487" s="18" t="str">
        <f>IFERROR(INDEX('المحافظات Governorates'!$E$2:$E$151,MATCH(D487,'المحافظات Governorates'!$A$2:$A$151,0)),"")</f>
        <v>Khulais</v>
      </c>
      <c r="I487" s="18" t="str">
        <f>IFERROR(INDEX('المناطق Regions'!$C$2:$C$15,MATCH(B487,'المناطق Regions'!$A$2:$A$15,0)),"")</f>
        <v>Makkah Al-Mukarramah</v>
      </c>
      <c r="J487" s="18" t="str">
        <f>F487&amp;", "&amp;E487&amp;", Saudi Arabia"</f>
        <v>النخيل, خليص, Saudi Arabia</v>
      </c>
      <c r="K487" s="18">
        <v>22.084462</v>
      </c>
      <c r="L487" s="18">
        <v>39.801862</v>
      </c>
      <c r="M487" s="18">
        <v>2000</v>
      </c>
      <c r="N487" s="18" t="s">
        <v>642</v>
      </c>
    </row>
    <row r="488" ht="15" customHeight="1" spans="1:14" x14ac:dyDescent="0.25">
      <c r="A488" s="11" t="s">
        <v>1545</v>
      </c>
      <c r="B488" s="11">
        <v>2</v>
      </c>
      <c r="C488" s="12" t="s">
        <v>47</v>
      </c>
      <c r="D488" s="11" t="s">
        <v>206</v>
      </c>
      <c r="E488" s="12" t="s">
        <v>207</v>
      </c>
      <c r="F488" s="12" t="s">
        <v>1546</v>
      </c>
      <c r="G488" s="11" t="s">
        <v>113</v>
      </c>
      <c r="H488" s="18" t="str">
        <f>IFERROR(INDEX('المحافظات Governorates'!$E$2:$E$151,MATCH(D488,'المحافظات Governorates'!$A$2:$A$151,0)),"")</f>
        <v>Al-Kamil</v>
      </c>
      <c r="I488" s="18" t="str">
        <f>IFERROR(INDEX('المناطق Regions'!$C$2:$C$15,MATCH(B488,'المناطق Regions'!$A$2:$A$15,0)),"")</f>
        <v>Makkah Al-Mukarramah</v>
      </c>
      <c r="J488" s="18" t="str">
        <f>F488&amp;", "&amp;E488&amp;", Saudi Arabia"</f>
        <v>الغريف, الكامل, Saudi Arabia</v>
      </c>
      <c r="K488" s="18">
        <v>22.437591</v>
      </c>
      <c r="L488" s="18">
        <v>39.866159</v>
      </c>
      <c r="M488" s="18">
        <v>2000</v>
      </c>
      <c r="N488" s="18" t="s">
        <v>562</v>
      </c>
    </row>
    <row r="489" ht="15" customHeight="1" spans="1:14" x14ac:dyDescent="0.25">
      <c r="A489" s="13" t="s">
        <v>1547</v>
      </c>
      <c r="B489" s="13">
        <v>2</v>
      </c>
      <c r="C489" s="14" t="s">
        <v>47</v>
      </c>
      <c r="D489" s="13" t="s">
        <v>206</v>
      </c>
      <c r="E489" s="14" t="s">
        <v>207</v>
      </c>
      <c r="F489" s="14" t="s">
        <v>1548</v>
      </c>
      <c r="G489" s="13" t="s">
        <v>113</v>
      </c>
      <c r="H489" s="18" t="str">
        <f>IFERROR(INDEX('المحافظات Governorates'!$E$2:$E$151,MATCH(D489,'المحافظات Governorates'!$A$2:$A$151,0)),"")</f>
        <v>Al-Kamil</v>
      </c>
      <c r="I489" s="18" t="str">
        <f>IFERROR(INDEX('المناطق Regions'!$C$2:$C$15,MATCH(B489,'المناطق Regions'!$A$2:$A$15,0)),"")</f>
        <v>Makkah Al-Mukarramah</v>
      </c>
      <c r="J489" s="18" t="str">
        <f>F489&amp;", "&amp;E489&amp;", Saudi Arabia"</f>
        <v>الحرة, الكامل, Saudi Arabia</v>
      </c>
      <c r="K489" s="18">
        <v>22.418863</v>
      </c>
      <c r="L489" s="18">
        <v>39.917888</v>
      </c>
      <c r="M489" s="18">
        <v>53299</v>
      </c>
      <c r="N489" s="18" t="s">
        <v>1549</v>
      </c>
    </row>
    <row r="490" ht="15" customHeight="1" spans="1:14" x14ac:dyDescent="0.25">
      <c r="A490" s="11" t="s">
        <v>1550</v>
      </c>
      <c r="B490" s="11">
        <v>2</v>
      </c>
      <c r="C490" s="12" t="s">
        <v>47</v>
      </c>
      <c r="D490" s="11" t="s">
        <v>206</v>
      </c>
      <c r="E490" s="12" t="s">
        <v>207</v>
      </c>
      <c r="F490" s="12" t="s">
        <v>1551</v>
      </c>
      <c r="G490" s="11" t="s">
        <v>149</v>
      </c>
      <c r="H490" s="18" t="str">
        <f>IFERROR(INDEX('المحافظات Governorates'!$E$2:$E$151,MATCH(D490,'المحافظات Governorates'!$A$2:$A$151,0)),"")</f>
        <v>Al-Kamil</v>
      </c>
      <c r="I490" s="18" t="str">
        <f>IFERROR(INDEX('المناطق Regions'!$C$2:$C$15,MATCH(B490,'المناطق Regions'!$A$2:$A$15,0)),"")</f>
        <v>Makkah Al-Mukarramah</v>
      </c>
      <c r="J490" s="18" t="str">
        <f>F490&amp;", "&amp;E490&amp;", Saudi Arabia"</f>
        <v>القعور, الكامل, Saudi Arabia</v>
      </c>
      <c r="K490" s="18">
        <v>22.418863</v>
      </c>
      <c r="L490" s="18">
        <v>39.917888</v>
      </c>
      <c r="M490" s="18">
        <v>53299</v>
      </c>
      <c r="N490" s="18" t="s">
        <v>1549</v>
      </c>
    </row>
    <row r="491" ht="15" customHeight="1" spans="1:14" x14ac:dyDescent="0.25">
      <c r="A491" s="13" t="s">
        <v>1552</v>
      </c>
      <c r="B491" s="13">
        <v>2</v>
      </c>
      <c r="C491" s="14" t="s">
        <v>47</v>
      </c>
      <c r="D491" s="13" t="s">
        <v>206</v>
      </c>
      <c r="E491" s="14" t="s">
        <v>207</v>
      </c>
      <c r="F491" s="14" t="s">
        <v>1553</v>
      </c>
      <c r="G491" s="13" t="s">
        <v>149</v>
      </c>
      <c r="H491" s="18" t="str">
        <f>IFERROR(INDEX('المحافظات Governorates'!$E$2:$E$151,MATCH(D491,'المحافظات Governorates'!$A$2:$A$151,0)),"")</f>
        <v>Al-Kamil</v>
      </c>
      <c r="I491" s="18" t="str">
        <f>IFERROR(INDEX('المناطق Regions'!$C$2:$C$15,MATCH(B491,'المناطق Regions'!$A$2:$A$15,0)),"")</f>
        <v>Makkah Al-Mukarramah</v>
      </c>
      <c r="J491" s="18" t="str">
        <f>F491&amp;", "&amp;E491&amp;", Saudi Arabia"</f>
        <v>الحنو, الكامل, Saudi Arabia</v>
      </c>
      <c r="K491" s="18">
        <v>22.3503</v>
      </c>
      <c r="L491" s="18">
        <v>39.688474</v>
      </c>
      <c r="M491" s="18">
        <v>2000</v>
      </c>
      <c r="N491" s="18" t="s">
        <v>562</v>
      </c>
    </row>
    <row r="492" ht="15" customHeight="1" spans="1:14" x14ac:dyDescent="0.25">
      <c r="A492" s="11" t="s">
        <v>1554</v>
      </c>
      <c r="B492" s="11">
        <v>2</v>
      </c>
      <c r="C492" s="12" t="s">
        <v>47</v>
      </c>
      <c r="D492" s="11" t="s">
        <v>209</v>
      </c>
      <c r="E492" s="12" t="s">
        <v>210</v>
      </c>
      <c r="F492" s="12" t="s">
        <v>1555</v>
      </c>
      <c r="G492" s="11" t="s">
        <v>149</v>
      </c>
      <c r="H492" s="18" t="str">
        <f>IFERROR(INDEX('المحافظات Governorates'!$E$2:$E$151,MATCH(D492,'المحافظات Governorates'!$A$2:$A$151,0)),"")</f>
        <v>Al-Khurmah</v>
      </c>
      <c r="I492" s="18" t="str">
        <f>IFERROR(INDEX('المناطق Regions'!$C$2:$C$15,MATCH(B492,'المناطق Regions'!$A$2:$A$15,0)),"")</f>
        <v>Makkah Al-Mukarramah</v>
      </c>
      <c r="J492" s="18" t="str">
        <f>F492&amp;", "&amp;E492&amp;", Saudi Arabia"</f>
        <v>ابومروه, الخرمة, Saudi Arabia</v>
      </c>
      <c r="K492" s="18">
        <v>22.197662</v>
      </c>
      <c r="L492" s="18">
        <v>42.284355</v>
      </c>
      <c r="M492" s="18">
        <v>2000</v>
      </c>
      <c r="N492" s="18" t="s">
        <v>562</v>
      </c>
    </row>
    <row r="493" ht="15" customHeight="1" spans="1:14" x14ac:dyDescent="0.25">
      <c r="A493" s="13" t="s">
        <v>1556</v>
      </c>
      <c r="B493" s="13">
        <v>2</v>
      </c>
      <c r="C493" s="14" t="s">
        <v>47</v>
      </c>
      <c r="D493" s="13" t="s">
        <v>209</v>
      </c>
      <c r="E493" s="14" t="s">
        <v>210</v>
      </c>
      <c r="F493" s="14" t="s">
        <v>1557</v>
      </c>
      <c r="G493" s="13" t="s">
        <v>149</v>
      </c>
      <c r="H493" s="18" t="str">
        <f>IFERROR(INDEX('المحافظات Governorates'!$E$2:$E$151,MATCH(D493,'المحافظات Governorates'!$A$2:$A$151,0)),"")</f>
        <v>Al-Khurmah</v>
      </c>
      <c r="I493" s="18" t="str">
        <f>IFERROR(INDEX('المناطق Regions'!$C$2:$C$15,MATCH(B493,'المناطق Regions'!$A$2:$A$15,0)),"")</f>
        <v>Makkah Al-Mukarramah</v>
      </c>
      <c r="J493" s="18" t="str">
        <f>F493&amp;", "&amp;E493&amp;", Saudi Arabia"</f>
        <v>ظليم, الخرمة, Saudi Arabia</v>
      </c>
      <c r="K493" s="18">
        <v>22.082294</v>
      </c>
      <c r="L493" s="18">
        <v>42.162759</v>
      </c>
      <c r="M493" s="18">
        <v>2000</v>
      </c>
      <c r="N493" s="18" t="s">
        <v>562</v>
      </c>
    </row>
    <row r="494" ht="15" customHeight="1" spans="1:14" x14ac:dyDescent="0.25">
      <c r="A494" s="11" t="s">
        <v>1558</v>
      </c>
      <c r="B494" s="11">
        <v>2</v>
      </c>
      <c r="C494" s="12" t="s">
        <v>47</v>
      </c>
      <c r="D494" s="11" t="s">
        <v>209</v>
      </c>
      <c r="E494" s="12" t="s">
        <v>210</v>
      </c>
      <c r="F494" s="12" t="s">
        <v>1559</v>
      </c>
      <c r="G494" s="11" t="s">
        <v>149</v>
      </c>
      <c r="H494" s="18" t="str">
        <f>IFERROR(INDEX('المحافظات Governorates'!$E$2:$E$151,MATCH(D494,'المحافظات Governorates'!$A$2:$A$151,0)),"")</f>
        <v>Al-Khurmah</v>
      </c>
      <c r="I494" s="18" t="str">
        <f>IFERROR(INDEX('المناطق Regions'!$C$2:$C$15,MATCH(B494,'المناطق Regions'!$A$2:$A$15,0)),"")</f>
        <v>Makkah Al-Mukarramah</v>
      </c>
      <c r="J494" s="18" t="str">
        <f>F494&amp;", "&amp;E494&amp;", Saudi Arabia"</f>
        <v>الخبراء, الخرمة, Saudi Arabia</v>
      </c>
      <c r="K494" s="18">
        <v>21.816969</v>
      </c>
      <c r="L494" s="18">
        <v>42.355714</v>
      </c>
      <c r="M494" s="18">
        <v>2000</v>
      </c>
      <c r="N494" s="18" t="s">
        <v>562</v>
      </c>
    </row>
    <row r="495" ht="15" customHeight="1" spans="1:14" x14ac:dyDescent="0.25">
      <c r="A495" s="13" t="s">
        <v>1560</v>
      </c>
      <c r="B495" s="13">
        <v>2</v>
      </c>
      <c r="C495" s="14" t="s">
        <v>47</v>
      </c>
      <c r="D495" s="13" t="s">
        <v>212</v>
      </c>
      <c r="E495" s="14" t="s">
        <v>213</v>
      </c>
      <c r="F495" s="14" t="s">
        <v>1561</v>
      </c>
      <c r="G495" s="13" t="s">
        <v>149</v>
      </c>
      <c r="H495" s="18" t="str">
        <f>IFERROR(INDEX('المحافظات Governorates'!$E$2:$E$151,MATCH(D495,'المحافظات Governorates'!$A$2:$A$151,0)),"")</f>
        <v>Ranyah</v>
      </c>
      <c r="I495" s="18" t="str">
        <f>IFERROR(INDEX('المناطق Regions'!$C$2:$C$15,MATCH(B495,'المناطق Regions'!$A$2:$A$15,0)),"")</f>
        <v>Makkah Al-Mukarramah</v>
      </c>
      <c r="J495" s="18" t="str">
        <f>F495&amp;", "&amp;E495&amp;", Saudi Arabia"</f>
        <v>حدى, رنيه, Saudi Arabia</v>
      </c>
      <c r="K495" s="18">
        <v>21.092105</v>
      </c>
      <c r="L495" s="18">
        <v>42.803314</v>
      </c>
      <c r="M495" s="18">
        <v>144268</v>
      </c>
      <c r="N495" s="18" t="s">
        <v>1562</v>
      </c>
    </row>
    <row r="496" ht="15" customHeight="1" spans="1:14" x14ac:dyDescent="0.25">
      <c r="A496" s="11" t="s">
        <v>1563</v>
      </c>
      <c r="B496" s="11">
        <v>2</v>
      </c>
      <c r="C496" s="12" t="s">
        <v>47</v>
      </c>
      <c r="D496" s="11" t="s">
        <v>212</v>
      </c>
      <c r="E496" s="12" t="s">
        <v>213</v>
      </c>
      <c r="F496" s="12" t="s">
        <v>1564</v>
      </c>
      <c r="G496" s="11" t="s">
        <v>149</v>
      </c>
      <c r="H496" s="18" t="str">
        <f>IFERROR(INDEX('المحافظات Governorates'!$E$2:$E$151,MATCH(D496,'المحافظات Governorates'!$A$2:$A$151,0)),"")</f>
        <v>Ranyah</v>
      </c>
      <c r="I496" s="18" t="str">
        <f>IFERROR(INDEX('المناطق Regions'!$C$2:$C$15,MATCH(B496,'المناطق Regions'!$A$2:$A$15,0)),"")</f>
        <v>Makkah Al-Mukarramah</v>
      </c>
      <c r="J496" s="18" t="str">
        <f>F496&amp;", "&amp;E496&amp;", Saudi Arabia"</f>
        <v>العويله, رنيه, Saudi Arabia</v>
      </c>
      <c r="K496" s="18">
        <v>21.092105</v>
      </c>
      <c r="L496" s="18">
        <v>42.803314</v>
      </c>
      <c r="M496" s="18">
        <v>144268</v>
      </c>
      <c r="N496" s="18" t="s">
        <v>1562</v>
      </c>
    </row>
    <row r="497" ht="15" customHeight="1" spans="1:14" x14ac:dyDescent="0.25">
      <c r="A497" s="13" t="s">
        <v>1565</v>
      </c>
      <c r="B497" s="13">
        <v>2</v>
      </c>
      <c r="C497" s="14" t="s">
        <v>47</v>
      </c>
      <c r="D497" s="13" t="s">
        <v>212</v>
      </c>
      <c r="E497" s="14" t="s">
        <v>213</v>
      </c>
      <c r="F497" s="14" t="s">
        <v>1566</v>
      </c>
      <c r="G497" s="13" t="s">
        <v>113</v>
      </c>
      <c r="H497" s="18" t="str">
        <f>IFERROR(INDEX('المحافظات Governorates'!$E$2:$E$151,MATCH(D497,'المحافظات Governorates'!$A$2:$A$151,0)),"")</f>
        <v>Ranyah</v>
      </c>
      <c r="I497" s="18" t="str">
        <f>IFERROR(INDEX('المناطق Regions'!$C$2:$C$15,MATCH(B497,'المناطق Regions'!$A$2:$A$15,0)),"")</f>
        <v>Makkah Al-Mukarramah</v>
      </c>
      <c r="J497" s="18" t="str">
        <f>F497&amp;", "&amp;E497&amp;", Saudi Arabia"</f>
        <v>الاملح, رنيه, Saudi Arabia</v>
      </c>
      <c r="K497" s="18">
        <v>21.197831</v>
      </c>
      <c r="L497" s="18">
        <v>42.736652</v>
      </c>
      <c r="M497" s="18">
        <v>2000</v>
      </c>
      <c r="N497" s="18" t="s">
        <v>562</v>
      </c>
    </row>
    <row r="498" ht="15" customHeight="1" spans="1:14" x14ac:dyDescent="0.25">
      <c r="A498" s="11" t="s">
        <v>1567</v>
      </c>
      <c r="B498" s="11">
        <v>2</v>
      </c>
      <c r="C498" s="12" t="s">
        <v>47</v>
      </c>
      <c r="D498" s="11" t="s">
        <v>212</v>
      </c>
      <c r="E498" s="12" t="s">
        <v>213</v>
      </c>
      <c r="F498" s="12" t="s">
        <v>1568</v>
      </c>
      <c r="G498" s="11" t="s">
        <v>149</v>
      </c>
      <c r="H498" s="18" t="str">
        <f>IFERROR(INDEX('المحافظات Governorates'!$E$2:$E$151,MATCH(D498,'المحافظات Governorates'!$A$2:$A$151,0)),"")</f>
        <v>Ranyah</v>
      </c>
      <c r="I498" s="18" t="str">
        <f>IFERROR(INDEX('المناطق Regions'!$C$2:$C$15,MATCH(B498,'المناطق Regions'!$A$2:$A$15,0)),"")</f>
        <v>Makkah Al-Mukarramah</v>
      </c>
      <c r="J498" s="18" t="str">
        <f>F498&amp;", "&amp;E498&amp;", Saudi Arabia"</f>
        <v>ورشه, رنيه, Saudi Arabia</v>
      </c>
      <c r="K498" s="18">
        <v>21.092105</v>
      </c>
      <c r="L498" s="18">
        <v>42.803314</v>
      </c>
      <c r="M498" s="18">
        <v>144268</v>
      </c>
      <c r="N498" s="18" t="s">
        <v>1562</v>
      </c>
    </row>
    <row r="499" ht="15" customHeight="1" spans="1:14" x14ac:dyDescent="0.25">
      <c r="A499" s="13" t="s">
        <v>1569</v>
      </c>
      <c r="B499" s="13">
        <v>2</v>
      </c>
      <c r="C499" s="14" t="s">
        <v>47</v>
      </c>
      <c r="D499" s="13" t="s">
        <v>212</v>
      </c>
      <c r="E499" s="14" t="s">
        <v>213</v>
      </c>
      <c r="F499" s="14" t="s">
        <v>1570</v>
      </c>
      <c r="G499" s="13" t="s">
        <v>149</v>
      </c>
      <c r="H499" s="18" t="str">
        <f>IFERROR(INDEX('المحافظات Governorates'!$E$2:$E$151,MATCH(D499,'المحافظات Governorates'!$A$2:$A$151,0)),"")</f>
        <v>Ranyah</v>
      </c>
      <c r="I499" s="18" t="str">
        <f>IFERROR(INDEX('المناطق Regions'!$C$2:$C$15,MATCH(B499,'المناطق Regions'!$A$2:$A$15,0)),"")</f>
        <v>Makkah Al-Mukarramah</v>
      </c>
      <c r="J499" s="18" t="str">
        <f>F499&amp;", "&amp;E499&amp;", Saudi Arabia"</f>
        <v>الغافه, رنيه, Saudi Arabia</v>
      </c>
      <c r="K499" s="18">
        <v>20.77936</v>
      </c>
      <c r="L499" s="18">
        <v>42.343538</v>
      </c>
      <c r="M499" s="18">
        <v>2000</v>
      </c>
      <c r="N499" s="18" t="s">
        <v>562</v>
      </c>
    </row>
    <row r="500" ht="15" customHeight="1" spans="1:14" x14ac:dyDescent="0.25">
      <c r="A500" s="11" t="s">
        <v>1571</v>
      </c>
      <c r="B500" s="11">
        <v>2</v>
      </c>
      <c r="C500" s="12" t="s">
        <v>47</v>
      </c>
      <c r="D500" s="11" t="s">
        <v>212</v>
      </c>
      <c r="E500" s="12" t="s">
        <v>213</v>
      </c>
      <c r="F500" s="12" t="s">
        <v>1572</v>
      </c>
      <c r="G500" s="11" t="s">
        <v>149</v>
      </c>
      <c r="H500" s="18" t="str">
        <f>IFERROR(INDEX('المحافظات Governorates'!$E$2:$E$151,MATCH(D500,'المحافظات Governorates'!$A$2:$A$151,0)),"")</f>
        <v>Ranyah</v>
      </c>
      <c r="I500" s="18" t="str">
        <f>IFERROR(INDEX('المناطق Regions'!$C$2:$C$15,MATCH(B500,'المناطق Regions'!$A$2:$A$15,0)),"")</f>
        <v>Makkah Al-Mukarramah</v>
      </c>
      <c r="J500" s="18" t="str">
        <f>F500&amp;", "&amp;E500&amp;", Saudi Arabia"</f>
        <v>العفيريه, رنيه, Saudi Arabia</v>
      </c>
      <c r="K500" s="18">
        <v>20.77936</v>
      </c>
      <c r="L500" s="18">
        <v>42.343538</v>
      </c>
      <c r="M500" s="18">
        <v>2000</v>
      </c>
      <c r="N500" s="18" t="s">
        <v>562</v>
      </c>
    </row>
    <row r="501" ht="15" customHeight="1" spans="1:14" x14ac:dyDescent="0.25">
      <c r="A501" s="13" t="s">
        <v>1573</v>
      </c>
      <c r="B501" s="13">
        <v>2</v>
      </c>
      <c r="C501" s="14" t="s">
        <v>47</v>
      </c>
      <c r="D501" s="13" t="s">
        <v>212</v>
      </c>
      <c r="E501" s="14" t="s">
        <v>213</v>
      </c>
      <c r="F501" s="14" t="s">
        <v>1574</v>
      </c>
      <c r="G501" s="13" t="s">
        <v>149</v>
      </c>
      <c r="H501" s="18" t="str">
        <f>IFERROR(INDEX('المحافظات Governorates'!$E$2:$E$151,MATCH(D501,'المحافظات Governorates'!$A$2:$A$151,0)),"")</f>
        <v>Ranyah</v>
      </c>
      <c r="I501" s="18" t="str">
        <f>IFERROR(INDEX('المناطق Regions'!$C$2:$C$15,MATCH(B501,'المناطق Regions'!$A$2:$A$15,0)),"")</f>
        <v>Makkah Al-Mukarramah</v>
      </c>
      <c r="J501" s="18" t="str">
        <f>F501&amp;", "&amp;E501&amp;", Saudi Arabia"</f>
        <v>خدان, رنيه, Saudi Arabia</v>
      </c>
      <c r="K501" s="18">
        <v>20.771673</v>
      </c>
      <c r="L501" s="18">
        <v>42.664159</v>
      </c>
      <c r="M501" s="18">
        <v>2000</v>
      </c>
      <c r="N501" s="18" t="s">
        <v>562</v>
      </c>
    </row>
    <row r="502" ht="15" customHeight="1" spans="1:14" x14ac:dyDescent="0.25">
      <c r="A502" s="11" t="s">
        <v>1575</v>
      </c>
      <c r="B502" s="11">
        <v>2</v>
      </c>
      <c r="C502" s="12" t="s">
        <v>47</v>
      </c>
      <c r="D502" s="11" t="s">
        <v>215</v>
      </c>
      <c r="E502" s="12" t="s">
        <v>216</v>
      </c>
      <c r="F502" s="12" t="s">
        <v>1576</v>
      </c>
      <c r="G502" s="11" t="s">
        <v>149</v>
      </c>
      <c r="H502" s="18" t="str">
        <f>IFERROR(INDEX('المحافظات Governorates'!$E$2:$E$151,MATCH(D502,'المحافظات Governorates'!$A$2:$A$151,0)),"")</f>
        <v>Turbah</v>
      </c>
      <c r="I502" s="18" t="str">
        <f>IFERROR(INDEX('المناطق Regions'!$C$2:$C$15,MATCH(B502,'المناطق Regions'!$A$2:$A$15,0)),"")</f>
        <v>Makkah Al-Mukarramah</v>
      </c>
      <c r="J502" s="18" t="str">
        <f>F502&amp;", "&amp;E502&amp;", Saudi Arabia"</f>
        <v>القوامه, تربه, Saudi Arabia</v>
      </c>
      <c r="K502" s="18">
        <v>20.758227</v>
      </c>
      <c r="L502" s="18">
        <v>41.696379</v>
      </c>
      <c r="M502" s="18">
        <v>2000</v>
      </c>
      <c r="N502" s="18" t="s">
        <v>562</v>
      </c>
    </row>
    <row r="503" ht="15" customHeight="1" spans="1:14" x14ac:dyDescent="0.25">
      <c r="A503" s="13" t="s">
        <v>1577</v>
      </c>
      <c r="B503" s="13">
        <v>2</v>
      </c>
      <c r="C503" s="14" t="s">
        <v>47</v>
      </c>
      <c r="D503" s="13" t="s">
        <v>215</v>
      </c>
      <c r="E503" s="14" t="s">
        <v>216</v>
      </c>
      <c r="F503" s="14" t="s">
        <v>1578</v>
      </c>
      <c r="G503" s="13" t="s">
        <v>113</v>
      </c>
      <c r="H503" s="18" t="str">
        <f>IFERROR(INDEX('المحافظات Governorates'!$E$2:$E$151,MATCH(D503,'المحافظات Governorates'!$A$2:$A$151,0)),"")</f>
        <v>Turbah</v>
      </c>
      <c r="I503" s="18" t="str">
        <f>IFERROR(INDEX('المناطق Regions'!$C$2:$C$15,MATCH(B503,'المناطق Regions'!$A$2:$A$15,0)),"")</f>
        <v>Makkah Al-Mukarramah</v>
      </c>
      <c r="J503" s="18" t="str">
        <f>F503&amp;", "&amp;E503&amp;", Saudi Arabia"</f>
        <v>الحشرج, تربه, Saudi Arabia</v>
      </c>
      <c r="K503" s="18">
        <v>21.089284</v>
      </c>
      <c r="L503" s="18">
        <v>41.560668</v>
      </c>
      <c r="M503" s="18">
        <v>2000</v>
      </c>
      <c r="N503" s="18" t="s">
        <v>642</v>
      </c>
    </row>
    <row r="504" ht="15" customHeight="1" spans="1:14" x14ac:dyDescent="0.25">
      <c r="A504" s="11" t="s">
        <v>1579</v>
      </c>
      <c r="B504" s="11">
        <v>2</v>
      </c>
      <c r="C504" s="12" t="s">
        <v>47</v>
      </c>
      <c r="D504" s="11" t="s">
        <v>215</v>
      </c>
      <c r="E504" s="12" t="s">
        <v>216</v>
      </c>
      <c r="F504" s="12" t="s">
        <v>1580</v>
      </c>
      <c r="G504" s="11" t="s">
        <v>149</v>
      </c>
      <c r="H504" s="18" t="str">
        <f>IFERROR(INDEX('المحافظات Governorates'!$E$2:$E$151,MATCH(D504,'المحافظات Governorates'!$A$2:$A$151,0)),"")</f>
        <v>Turbah</v>
      </c>
      <c r="I504" s="18" t="str">
        <f>IFERROR(INDEX('المناطق Regions'!$C$2:$C$15,MATCH(B504,'المناطق Regions'!$A$2:$A$15,0)),"")</f>
        <v>Makkah Al-Mukarramah</v>
      </c>
      <c r="J504" s="18" t="str">
        <f>F504&amp;", "&amp;E504&amp;", Saudi Arabia"</f>
        <v>شعر, تربه, Saudi Arabia</v>
      </c>
      <c r="K504" s="18">
        <v>21.445766</v>
      </c>
      <c r="L504" s="18">
        <v>41.787726</v>
      </c>
      <c r="M504" s="18">
        <v>2000</v>
      </c>
      <c r="N504" s="18" t="s">
        <v>642</v>
      </c>
    </row>
    <row r="505" ht="15" customHeight="1" spans="1:14" x14ac:dyDescent="0.25">
      <c r="A505" s="13" t="s">
        <v>1581</v>
      </c>
      <c r="B505" s="13">
        <v>2</v>
      </c>
      <c r="C505" s="14" t="s">
        <v>47</v>
      </c>
      <c r="D505" s="13" t="s">
        <v>215</v>
      </c>
      <c r="E505" s="14" t="s">
        <v>216</v>
      </c>
      <c r="F505" s="14" t="s">
        <v>1582</v>
      </c>
      <c r="G505" s="13" t="s">
        <v>113</v>
      </c>
      <c r="H505" s="18" t="str">
        <f>IFERROR(INDEX('المحافظات Governorates'!$E$2:$E$151,MATCH(D505,'المحافظات Governorates'!$A$2:$A$151,0)),"")</f>
        <v>Turbah</v>
      </c>
      <c r="I505" s="18" t="str">
        <f>IFERROR(INDEX('المناطق Regions'!$C$2:$C$15,MATCH(B505,'المناطق Regions'!$A$2:$A$15,0)),"")</f>
        <v>Makkah Al-Mukarramah</v>
      </c>
      <c r="J505" s="18" t="str">
        <f>F505&amp;", "&amp;E505&amp;", Saudi Arabia"</f>
        <v>العصله, تربه, Saudi Arabia</v>
      </c>
      <c r="K505" s="18">
        <v>21.37307</v>
      </c>
      <c r="L505" s="18">
        <v>41.759313</v>
      </c>
      <c r="M505" s="18">
        <v>2000</v>
      </c>
      <c r="N505" s="18" t="s">
        <v>562</v>
      </c>
    </row>
    <row r="506" ht="15" customHeight="1" spans="1:14" x14ac:dyDescent="0.25">
      <c r="A506" s="11" t="s">
        <v>1583</v>
      </c>
      <c r="B506" s="11">
        <v>2</v>
      </c>
      <c r="C506" s="12" t="s">
        <v>47</v>
      </c>
      <c r="D506" s="11" t="s">
        <v>215</v>
      </c>
      <c r="E506" s="12" t="s">
        <v>216</v>
      </c>
      <c r="F506" s="12" t="s">
        <v>1584</v>
      </c>
      <c r="G506" s="11" t="s">
        <v>149</v>
      </c>
      <c r="H506" s="18" t="str">
        <f>IFERROR(INDEX('المحافظات Governorates'!$E$2:$E$151,MATCH(D506,'المحافظات Governorates'!$A$2:$A$151,0)),"")</f>
        <v>Turbah</v>
      </c>
      <c r="I506" s="18" t="str">
        <f>IFERROR(INDEX('المناطق Regions'!$C$2:$C$15,MATCH(B506,'المناطق Regions'!$A$2:$A$15,0)),"")</f>
        <v>Makkah Al-Mukarramah</v>
      </c>
      <c r="J506" s="18" t="str">
        <f>F506&amp;", "&amp;E506&amp;", Saudi Arabia"</f>
        <v>الخضيراء, تربه, Saudi Arabia</v>
      </c>
      <c r="K506" s="18">
        <v>21.227241</v>
      </c>
      <c r="L506" s="18">
        <v>41.600203</v>
      </c>
      <c r="M506" s="18">
        <v>85169</v>
      </c>
      <c r="N506" s="18" t="s">
        <v>1585</v>
      </c>
    </row>
    <row r="507" ht="15" customHeight="1" spans="1:14" x14ac:dyDescent="0.25">
      <c r="A507" s="13" t="s">
        <v>1586</v>
      </c>
      <c r="B507" s="13">
        <v>2</v>
      </c>
      <c r="C507" s="14" t="s">
        <v>47</v>
      </c>
      <c r="D507" s="13" t="s">
        <v>215</v>
      </c>
      <c r="E507" s="14" t="s">
        <v>216</v>
      </c>
      <c r="F507" s="14" t="s">
        <v>1587</v>
      </c>
      <c r="G507" s="13" t="s">
        <v>149</v>
      </c>
      <c r="H507" s="18" t="str">
        <f>IFERROR(INDEX('المحافظات Governorates'!$E$2:$E$151,MATCH(D507,'المحافظات Governorates'!$A$2:$A$151,0)),"")</f>
        <v>Turbah</v>
      </c>
      <c r="I507" s="18" t="str">
        <f>IFERROR(INDEX('المناطق Regions'!$C$2:$C$15,MATCH(B507,'المناطق Regions'!$A$2:$A$15,0)),"")</f>
        <v>Makkah Al-Mukarramah</v>
      </c>
      <c r="J507" s="18" t="str">
        <f>F507&amp;", "&amp;E507&amp;", Saudi Arabia"</f>
        <v>العرقين, تربه, Saudi Arabia</v>
      </c>
      <c r="K507" s="18">
        <v>21.334836</v>
      </c>
      <c r="L507" s="18">
        <v>41.764912</v>
      </c>
      <c r="M507" s="18">
        <v>2000</v>
      </c>
      <c r="N507" s="18" t="s">
        <v>642</v>
      </c>
    </row>
    <row r="508" ht="15" customHeight="1" spans="1:14" x14ac:dyDescent="0.25">
      <c r="A508" s="11" t="s">
        <v>1588</v>
      </c>
      <c r="B508" s="11">
        <v>2</v>
      </c>
      <c r="C508" s="12" t="s">
        <v>47</v>
      </c>
      <c r="D508" s="11" t="s">
        <v>215</v>
      </c>
      <c r="E508" s="12" t="s">
        <v>216</v>
      </c>
      <c r="F508" s="12" t="s">
        <v>1589</v>
      </c>
      <c r="G508" s="11" t="s">
        <v>149</v>
      </c>
      <c r="H508" s="18" t="str">
        <f>IFERROR(INDEX('المحافظات Governorates'!$E$2:$E$151,MATCH(D508,'المحافظات Governorates'!$A$2:$A$151,0)),"")</f>
        <v>Turbah</v>
      </c>
      <c r="I508" s="18" t="str">
        <f>IFERROR(INDEX('المناطق Regions'!$C$2:$C$15,MATCH(B508,'المناطق Regions'!$A$2:$A$15,0)),"")</f>
        <v>Makkah Al-Mukarramah</v>
      </c>
      <c r="J508" s="18" t="str">
        <f>F508&amp;", "&amp;E508&amp;", Saudi Arabia"</f>
        <v>العلبه, تربه, Saudi Arabia</v>
      </c>
      <c r="K508" s="18">
        <v>20.892936</v>
      </c>
      <c r="L508" s="18">
        <v>41.43501</v>
      </c>
      <c r="M508" s="18">
        <v>2000</v>
      </c>
      <c r="N508" s="18" t="s">
        <v>562</v>
      </c>
    </row>
    <row r="509" ht="15" customHeight="1" spans="1:14" x14ac:dyDescent="0.25">
      <c r="A509" s="13" t="s">
        <v>1590</v>
      </c>
      <c r="B509" s="13">
        <v>2</v>
      </c>
      <c r="C509" s="14" t="s">
        <v>47</v>
      </c>
      <c r="D509" s="13" t="s">
        <v>215</v>
      </c>
      <c r="E509" s="14" t="s">
        <v>216</v>
      </c>
      <c r="F509" s="14" t="s">
        <v>741</v>
      </c>
      <c r="G509" s="13" t="s">
        <v>149</v>
      </c>
      <c r="H509" s="18" t="str">
        <f>IFERROR(INDEX('المحافظات Governorates'!$E$2:$E$151,MATCH(D509,'المحافظات Governorates'!$A$2:$A$151,0)),"")</f>
        <v>Turbah</v>
      </c>
      <c r="I509" s="18" t="str">
        <f>IFERROR(INDEX('المناطق Regions'!$C$2:$C$15,MATCH(B509,'المناطق Regions'!$A$2:$A$15,0)),"")</f>
        <v>Makkah Al-Mukarramah</v>
      </c>
      <c r="J509" s="18" t="str">
        <f>F509&amp;", "&amp;E509&amp;", Saudi Arabia"</f>
        <v>الخالديه, تربه, Saudi Arabia</v>
      </c>
      <c r="K509" s="18">
        <v>21.199282</v>
      </c>
      <c r="L509" s="18">
        <v>41.618981</v>
      </c>
      <c r="M509" s="18">
        <v>2000</v>
      </c>
      <c r="N509" s="18" t="s">
        <v>562</v>
      </c>
    </row>
    <row r="510" ht="15" customHeight="1" spans="1:14" x14ac:dyDescent="0.25">
      <c r="A510" s="11" t="s">
        <v>1591</v>
      </c>
      <c r="B510" s="11">
        <v>2</v>
      </c>
      <c r="C510" s="12" t="s">
        <v>47</v>
      </c>
      <c r="D510" s="11" t="s">
        <v>215</v>
      </c>
      <c r="E510" s="12" t="s">
        <v>216</v>
      </c>
      <c r="F510" s="12" t="s">
        <v>1592</v>
      </c>
      <c r="G510" s="11" t="s">
        <v>149</v>
      </c>
      <c r="H510" s="18" t="str">
        <f>IFERROR(INDEX('المحافظات Governorates'!$E$2:$E$151,MATCH(D510,'المحافظات Governorates'!$A$2:$A$151,0)),"")</f>
        <v>Turbah</v>
      </c>
      <c r="I510" s="18" t="str">
        <f>IFERROR(INDEX('المناطق Regions'!$C$2:$C$15,MATCH(B510,'المناطق Regions'!$A$2:$A$15,0)),"")</f>
        <v>Makkah Al-Mukarramah</v>
      </c>
      <c r="J510" s="18" t="str">
        <f>F510&amp;", "&amp;E510&amp;", Saudi Arabia"</f>
        <v>العلاوة, تربه, Saudi Arabia</v>
      </c>
      <c r="K510" s="18">
        <v>21.179484</v>
      </c>
      <c r="L510" s="18">
        <v>41.651196</v>
      </c>
      <c r="M510" s="18">
        <v>2000</v>
      </c>
      <c r="N510" s="18" t="s">
        <v>642</v>
      </c>
    </row>
    <row r="511" ht="15" customHeight="1" spans="1:14" x14ac:dyDescent="0.25">
      <c r="A511" s="13" t="s">
        <v>1593</v>
      </c>
      <c r="B511" s="13">
        <v>2</v>
      </c>
      <c r="C511" s="14" t="s">
        <v>47</v>
      </c>
      <c r="D511" s="13" t="s">
        <v>218</v>
      </c>
      <c r="E511" s="14" t="s">
        <v>219</v>
      </c>
      <c r="F511" s="14" t="s">
        <v>1594</v>
      </c>
      <c r="G511" s="13" t="s">
        <v>113</v>
      </c>
      <c r="H511" s="18" t="str">
        <f>IFERROR(INDEX('المحافظات Governorates'!$E$2:$E$151,MATCH(D511,'المحافظات Governorates'!$A$2:$A$151,0)),"")</f>
        <v>Bahrah</v>
      </c>
      <c r="I511" s="18" t="str">
        <f>IFERROR(INDEX('المناطق Regions'!$C$2:$C$15,MATCH(B511,'المناطق Regions'!$A$2:$A$15,0)),"")</f>
        <v>Makkah Al-Mukarramah</v>
      </c>
      <c r="J511" s="18" t="str">
        <f>F511&amp;", "&amp;E511&amp;", Saudi Arabia"</f>
        <v>الشعيبه, بحرة, Saudi Arabia</v>
      </c>
      <c r="K511" s="18">
        <v>20.68892</v>
      </c>
      <c r="L511" s="18">
        <v>39.536888</v>
      </c>
      <c r="M511" s="18">
        <v>2000</v>
      </c>
      <c r="N511" s="18" t="s">
        <v>562</v>
      </c>
    </row>
    <row r="512" ht="15" customHeight="1" spans="1:14" x14ac:dyDescent="0.25">
      <c r="A512" s="11" t="s">
        <v>1595</v>
      </c>
      <c r="B512" s="11">
        <v>2</v>
      </c>
      <c r="C512" s="12" t="s">
        <v>47</v>
      </c>
      <c r="D512" s="11" t="s">
        <v>218</v>
      </c>
      <c r="E512" s="12" t="s">
        <v>219</v>
      </c>
      <c r="F512" s="12" t="s">
        <v>1596</v>
      </c>
      <c r="G512" s="11" t="s">
        <v>149</v>
      </c>
      <c r="H512" s="18" t="str">
        <f>IFERROR(INDEX('المحافظات Governorates'!$E$2:$E$151,MATCH(D512,'المحافظات Governorates'!$A$2:$A$151,0)),"")</f>
        <v>Bahrah</v>
      </c>
      <c r="I512" s="18" t="str">
        <f>IFERROR(INDEX('المناطق Regions'!$C$2:$C$15,MATCH(B512,'المناطق Regions'!$A$2:$A$15,0)),"")</f>
        <v>Makkah Al-Mukarramah</v>
      </c>
      <c r="J512" s="18" t="str">
        <f>F512&amp;", "&amp;E512&amp;", Saudi Arabia"</f>
        <v>دفاق, بحرة, Saudi Arabia</v>
      </c>
      <c r="K512" s="18">
        <v>21.053212</v>
      </c>
      <c r="L512" s="18">
        <v>39.990303</v>
      </c>
      <c r="M512" s="18">
        <v>2000</v>
      </c>
      <c r="N512" s="18" t="s">
        <v>562</v>
      </c>
    </row>
    <row r="513" ht="15" customHeight="1" spans="1:14" x14ac:dyDescent="0.25">
      <c r="A513" s="13" t="s">
        <v>1597</v>
      </c>
      <c r="B513" s="13">
        <v>2</v>
      </c>
      <c r="C513" s="14" t="s">
        <v>47</v>
      </c>
      <c r="D513" s="13" t="s">
        <v>218</v>
      </c>
      <c r="E513" s="14" t="s">
        <v>219</v>
      </c>
      <c r="F513" s="14" t="s">
        <v>1598</v>
      </c>
      <c r="G513" s="13" t="s">
        <v>149</v>
      </c>
      <c r="H513" s="18" t="str">
        <f>IFERROR(INDEX('المحافظات Governorates'!$E$2:$E$151,MATCH(D513,'المحافظات Governorates'!$A$2:$A$151,0)),"")</f>
        <v>Bahrah</v>
      </c>
      <c r="I513" s="18" t="str">
        <f>IFERROR(INDEX('المناطق Regions'!$C$2:$C$15,MATCH(B513,'المناطق Regions'!$A$2:$A$15,0)),"")</f>
        <v>Makkah Al-Mukarramah</v>
      </c>
      <c r="J513" s="18" t="str">
        <f>F513&amp;", "&amp;E513&amp;", Saudi Arabia"</f>
        <v>البيضاء, بحرة, Saudi Arabia</v>
      </c>
      <c r="K513" s="18">
        <v>20.983694</v>
      </c>
      <c r="L513" s="18">
        <v>39.827969</v>
      </c>
      <c r="M513" s="18">
        <v>2000</v>
      </c>
      <c r="N513" s="18" t="s">
        <v>562</v>
      </c>
    </row>
    <row r="514" ht="15" customHeight="1" spans="1:14" x14ac:dyDescent="0.25">
      <c r="A514" s="11" t="s">
        <v>1599</v>
      </c>
      <c r="B514" s="11">
        <v>2</v>
      </c>
      <c r="C514" s="12" t="s">
        <v>47</v>
      </c>
      <c r="D514" s="11" t="s">
        <v>218</v>
      </c>
      <c r="E514" s="12" t="s">
        <v>219</v>
      </c>
      <c r="F514" s="12" t="s">
        <v>1600</v>
      </c>
      <c r="G514" s="11" t="s">
        <v>113</v>
      </c>
      <c r="H514" s="18" t="str">
        <f>IFERROR(INDEX('المحافظات Governorates'!$E$2:$E$151,MATCH(D514,'المحافظات Governorates'!$A$2:$A$151,0)),"")</f>
        <v>Bahrah</v>
      </c>
      <c r="I514" s="18" t="str">
        <f>IFERROR(INDEX('المناطق Regions'!$C$2:$C$15,MATCH(B514,'المناطق Regions'!$A$2:$A$15,0)),"")</f>
        <v>Makkah Al-Mukarramah</v>
      </c>
      <c r="J514" s="18" t="str">
        <f>F514&amp;", "&amp;E514&amp;", Saudi Arabia"</f>
        <v>أم الراكه, بحرة, Saudi Arabia</v>
      </c>
      <c r="K514" s="18">
        <v>21.162331</v>
      </c>
      <c r="L514" s="18">
        <v>40.029463</v>
      </c>
      <c r="M514" s="18">
        <v>2000</v>
      </c>
      <c r="N514" s="18" t="s">
        <v>562</v>
      </c>
    </row>
    <row r="515" ht="15" customHeight="1" spans="1:14" x14ac:dyDescent="0.25">
      <c r="A515" s="13" t="s">
        <v>1601</v>
      </c>
      <c r="B515" s="13">
        <v>2</v>
      </c>
      <c r="C515" s="14" t="s">
        <v>47</v>
      </c>
      <c r="D515" s="13" t="s">
        <v>222</v>
      </c>
      <c r="E515" s="14" t="s">
        <v>223</v>
      </c>
      <c r="F515" s="14" t="s">
        <v>1602</v>
      </c>
      <c r="G515" s="13" t="s">
        <v>113</v>
      </c>
      <c r="H515" s="18" t="str">
        <f>IFERROR(INDEX('المحافظات Governorates'!$E$2:$E$151,MATCH(D515,'المحافظات Governorates'!$A$2:$A$151,0)),"")</f>
        <v>Al-Muwayh</v>
      </c>
      <c r="I515" s="18" t="str">
        <f>IFERROR(INDEX('المناطق Regions'!$C$2:$C$15,MATCH(B515,'المناطق Regions'!$A$2:$A$15,0)),"")</f>
        <v>Makkah Al-Mukarramah</v>
      </c>
      <c r="J515" s="18" t="str">
        <f>F515&amp;", "&amp;E515&amp;", Saudi Arabia"</f>
        <v>ظلم, المويه, Saudi Arabia</v>
      </c>
      <c r="K515" s="18">
        <v>22.723371</v>
      </c>
      <c r="L515" s="18">
        <v>42.168706</v>
      </c>
      <c r="M515" s="18">
        <v>2000</v>
      </c>
      <c r="N515" s="18" t="s">
        <v>642</v>
      </c>
    </row>
    <row r="516" ht="15" customHeight="1" spans="1:14" x14ac:dyDescent="0.25">
      <c r="A516" s="11" t="s">
        <v>1603</v>
      </c>
      <c r="B516" s="11">
        <v>2</v>
      </c>
      <c r="C516" s="12" t="s">
        <v>47</v>
      </c>
      <c r="D516" s="11" t="s">
        <v>222</v>
      </c>
      <c r="E516" s="12" t="s">
        <v>223</v>
      </c>
      <c r="F516" s="12" t="s">
        <v>1604</v>
      </c>
      <c r="G516" s="11" t="s">
        <v>113</v>
      </c>
      <c r="H516" s="18" t="str">
        <f>IFERROR(INDEX('المحافظات Governorates'!$E$2:$E$151,MATCH(D516,'المحافظات Governorates'!$A$2:$A$151,0)),"")</f>
        <v>Al-Muwayh</v>
      </c>
      <c r="I516" s="18" t="str">
        <f>IFERROR(INDEX('المناطق Regions'!$C$2:$C$15,MATCH(B516,'المناطق Regions'!$A$2:$A$15,0)),"")</f>
        <v>Makkah Al-Mukarramah</v>
      </c>
      <c r="J516" s="18" t="str">
        <f>F516&amp;", "&amp;E516&amp;", Saudi Arabia"</f>
        <v>رضوان, المويه, Saudi Arabia</v>
      </c>
      <c r="K516" s="18">
        <v>22.089167</v>
      </c>
      <c r="L516" s="18">
        <v>41.272222</v>
      </c>
      <c r="M516" s="18">
        <v>2000</v>
      </c>
      <c r="N516" s="18" t="s">
        <v>642</v>
      </c>
    </row>
    <row r="517" ht="15" customHeight="1" spans="1:14" x14ac:dyDescent="0.25">
      <c r="A517" s="13" t="s">
        <v>1605</v>
      </c>
      <c r="B517" s="13">
        <v>2</v>
      </c>
      <c r="C517" s="14" t="s">
        <v>47</v>
      </c>
      <c r="D517" s="13" t="s">
        <v>222</v>
      </c>
      <c r="E517" s="14" t="s">
        <v>223</v>
      </c>
      <c r="F517" s="14" t="s">
        <v>1606</v>
      </c>
      <c r="G517" s="13" t="s">
        <v>149</v>
      </c>
      <c r="H517" s="18" t="str">
        <f>IFERROR(INDEX('المحافظات Governorates'!$E$2:$E$151,MATCH(D517,'المحافظات Governorates'!$A$2:$A$151,0)),"")</f>
        <v>Al-Muwayh</v>
      </c>
      <c r="I517" s="18" t="str">
        <f>IFERROR(INDEX('المناطق Regions'!$C$2:$C$15,MATCH(B517,'المناطق Regions'!$A$2:$A$15,0)),"")</f>
        <v>Makkah Al-Mukarramah</v>
      </c>
      <c r="J517" s="18" t="str">
        <f>F517&amp;", "&amp;E517&amp;", Saudi Arabia"</f>
        <v>الحفر, المويه, Saudi Arabia</v>
      </c>
      <c r="K517" s="18">
        <v>22.831667</v>
      </c>
      <c r="L517" s="18">
        <v>41.118889</v>
      </c>
      <c r="M517" s="18">
        <v>2000</v>
      </c>
      <c r="N517" s="18" t="s">
        <v>642</v>
      </c>
    </row>
    <row r="518" ht="15" customHeight="1" spans="1:14" x14ac:dyDescent="0.25">
      <c r="A518" s="11" t="s">
        <v>1607</v>
      </c>
      <c r="B518" s="11">
        <v>2</v>
      </c>
      <c r="C518" s="12" t="s">
        <v>47</v>
      </c>
      <c r="D518" s="11" t="s">
        <v>222</v>
      </c>
      <c r="E518" s="12" t="s">
        <v>223</v>
      </c>
      <c r="F518" s="12" t="s">
        <v>1608</v>
      </c>
      <c r="G518" s="11" t="s">
        <v>149</v>
      </c>
      <c r="H518" s="18" t="str">
        <f>IFERROR(INDEX('المحافظات Governorates'!$E$2:$E$151,MATCH(D518,'المحافظات Governorates'!$A$2:$A$151,0)),"")</f>
        <v>Al-Muwayh</v>
      </c>
      <c r="I518" s="18" t="str">
        <f>IFERROR(INDEX('المناطق Regions'!$C$2:$C$15,MATCH(B518,'المناطق Regions'!$A$2:$A$15,0)),"")</f>
        <v>Makkah Al-Mukarramah</v>
      </c>
      <c r="J518" s="18" t="str">
        <f>F518&amp;", "&amp;E518&amp;", Saudi Arabia"</f>
        <v>دغيبجه, المويه, Saudi Arabia</v>
      </c>
      <c r="K518" s="18"/>
      <c r="L518" s="18"/>
      <c r="M518" s="18"/>
      <c r="N518" s="18" t="s">
        <v>1609</v>
      </c>
    </row>
    <row r="519" ht="15" customHeight="1" spans="1:14" x14ac:dyDescent="0.25">
      <c r="A519" s="13" t="s">
        <v>1610</v>
      </c>
      <c r="B519" s="13">
        <v>2</v>
      </c>
      <c r="C519" s="14" t="s">
        <v>47</v>
      </c>
      <c r="D519" s="13" t="s">
        <v>222</v>
      </c>
      <c r="E519" s="14" t="s">
        <v>223</v>
      </c>
      <c r="F519" s="14" t="s">
        <v>1611</v>
      </c>
      <c r="G519" s="13" t="s">
        <v>149</v>
      </c>
      <c r="H519" s="18" t="str">
        <f>IFERROR(INDEX('المحافظات Governorates'!$E$2:$E$151,MATCH(D519,'المحافظات Governorates'!$A$2:$A$151,0)),"")</f>
        <v>Al-Muwayh</v>
      </c>
      <c r="I519" s="18" t="str">
        <f>IFERROR(INDEX('المناطق Regions'!$C$2:$C$15,MATCH(B519,'المناطق Regions'!$A$2:$A$15,0)),"")</f>
        <v>Makkah Al-Mukarramah</v>
      </c>
      <c r="J519" s="18" t="str">
        <f>F519&amp;", "&amp;E519&amp;", Saudi Arabia"</f>
        <v>الراغيه, المويه, Saudi Arabia</v>
      </c>
      <c r="K519" s="18"/>
      <c r="L519" s="18"/>
      <c r="M519" s="18"/>
      <c r="N519" s="18" t="s">
        <v>1609</v>
      </c>
    </row>
    <row r="520" ht="15" customHeight="1" spans="1:14" x14ac:dyDescent="0.25">
      <c r="A520" s="11" t="s">
        <v>1612</v>
      </c>
      <c r="B520" s="11">
        <v>2</v>
      </c>
      <c r="C520" s="12" t="s">
        <v>47</v>
      </c>
      <c r="D520" s="11" t="s">
        <v>222</v>
      </c>
      <c r="E520" s="12" t="s">
        <v>223</v>
      </c>
      <c r="F520" s="12" t="s">
        <v>1613</v>
      </c>
      <c r="G520" s="11" t="s">
        <v>149</v>
      </c>
      <c r="H520" s="18" t="str">
        <f>IFERROR(INDEX('المحافظات Governorates'!$E$2:$E$151,MATCH(D520,'المحافظات Governorates'!$A$2:$A$151,0)),"")</f>
        <v>Al-Muwayh</v>
      </c>
      <c r="I520" s="18" t="str">
        <f>IFERROR(INDEX('المناطق Regions'!$C$2:$C$15,MATCH(B520,'المناطق Regions'!$A$2:$A$15,0)),"")</f>
        <v>Makkah Al-Mukarramah</v>
      </c>
      <c r="J520" s="18" t="str">
        <f>F520&amp;", "&amp;E520&amp;", Saudi Arabia"</f>
        <v>مران, المويه, Saudi Arabia</v>
      </c>
      <c r="K520" s="18">
        <v>22.63781</v>
      </c>
      <c r="L520" s="18">
        <v>41.381944</v>
      </c>
      <c r="M520" s="18">
        <v>2000</v>
      </c>
      <c r="N520" s="18" t="s">
        <v>642</v>
      </c>
    </row>
    <row r="521" ht="15" customHeight="1" spans="1:14" x14ac:dyDescent="0.25">
      <c r="A521" s="13" t="s">
        <v>1614</v>
      </c>
      <c r="B521" s="13">
        <v>2</v>
      </c>
      <c r="C521" s="14" t="s">
        <v>47</v>
      </c>
      <c r="D521" s="13" t="s">
        <v>222</v>
      </c>
      <c r="E521" s="14" t="s">
        <v>223</v>
      </c>
      <c r="F521" s="14" t="s">
        <v>1169</v>
      </c>
      <c r="G521" s="13" t="s">
        <v>149</v>
      </c>
      <c r="H521" s="18" t="str">
        <f>IFERROR(INDEX('المحافظات Governorates'!$E$2:$E$151,MATCH(D521,'المحافظات Governorates'!$A$2:$A$151,0)),"")</f>
        <v>Al-Muwayh</v>
      </c>
      <c r="I521" s="18" t="str">
        <f>IFERROR(INDEX('المناطق Regions'!$C$2:$C$15,MATCH(B521,'المناطق Regions'!$A$2:$A$15,0)),"")</f>
        <v>Makkah Al-Mukarramah</v>
      </c>
      <c r="J521" s="18" t="str">
        <f>F521&amp;", "&amp;E521&amp;", Saudi Arabia"</f>
        <v>البحره, المويه, Saudi Arabia</v>
      </c>
      <c r="K521" s="18"/>
      <c r="L521" s="18"/>
      <c r="M521" s="18"/>
      <c r="N521" s="18" t="s">
        <v>1609</v>
      </c>
    </row>
    <row r="522" ht="15" customHeight="1" spans="1:14" x14ac:dyDescent="0.25">
      <c r="A522" s="11" t="s">
        <v>1615</v>
      </c>
      <c r="B522" s="11">
        <v>2</v>
      </c>
      <c r="C522" s="12" t="s">
        <v>47</v>
      </c>
      <c r="D522" s="11" t="s">
        <v>222</v>
      </c>
      <c r="E522" s="12" t="s">
        <v>223</v>
      </c>
      <c r="F522" s="12" t="s">
        <v>1616</v>
      </c>
      <c r="G522" s="11" t="s">
        <v>113</v>
      </c>
      <c r="H522" s="18" t="str">
        <f>IFERROR(INDEX('المحافظات Governorates'!$E$2:$E$151,MATCH(D522,'المحافظات Governorates'!$A$2:$A$151,0)),"")</f>
        <v>Al-Muwayh</v>
      </c>
      <c r="I522" s="18" t="str">
        <f>IFERROR(INDEX('المناطق Regions'!$C$2:$C$15,MATCH(B522,'المناطق Regions'!$A$2:$A$15,0)),"")</f>
        <v>Makkah Al-Mukarramah</v>
      </c>
      <c r="J522" s="18" t="str">
        <f>F522&amp;", "&amp;E522&amp;", Saudi Arabia"</f>
        <v>الزربان, المويه, Saudi Arabia</v>
      </c>
      <c r="K522" s="18">
        <v>22.819444</v>
      </c>
      <c r="L522" s="18">
        <v>41.145324</v>
      </c>
      <c r="M522" s="18">
        <v>2000</v>
      </c>
      <c r="N522" s="18" t="s">
        <v>642</v>
      </c>
    </row>
    <row r="523" ht="15" customHeight="1" spans="1:14" x14ac:dyDescent="0.25">
      <c r="A523" s="13" t="s">
        <v>1617</v>
      </c>
      <c r="B523" s="13">
        <v>2</v>
      </c>
      <c r="C523" s="14" t="s">
        <v>47</v>
      </c>
      <c r="D523" s="13" t="s">
        <v>222</v>
      </c>
      <c r="E523" s="14" t="s">
        <v>223</v>
      </c>
      <c r="F523" s="14" t="s">
        <v>1618</v>
      </c>
      <c r="G523" s="13" t="s">
        <v>149</v>
      </c>
      <c r="H523" s="18" t="str">
        <f>IFERROR(INDEX('المحافظات Governorates'!$E$2:$E$151,MATCH(D523,'المحافظات Governorates'!$A$2:$A$151,0)),"")</f>
        <v>Al-Muwayh</v>
      </c>
      <c r="I523" s="18" t="str">
        <f>IFERROR(INDEX('المناطق Regions'!$C$2:$C$15,MATCH(B523,'المناطق Regions'!$A$2:$A$15,0)),"")</f>
        <v>Makkah Al-Mukarramah</v>
      </c>
      <c r="J523" s="18" t="str">
        <f>F523&amp;", "&amp;E523&amp;", Saudi Arabia"</f>
        <v>مشاش الطارف, المويه, Saudi Arabia</v>
      </c>
      <c r="K523" s="18">
        <v>21.833217</v>
      </c>
      <c r="L523" s="18">
        <v>41.214867</v>
      </c>
      <c r="M523" s="18">
        <v>2000</v>
      </c>
      <c r="N523" s="18" t="s">
        <v>642</v>
      </c>
    </row>
    <row r="524" ht="15" customHeight="1" spans="1:14" x14ac:dyDescent="0.25">
      <c r="A524" s="11" t="s">
        <v>1619</v>
      </c>
      <c r="B524" s="11">
        <v>2</v>
      </c>
      <c r="C524" s="12" t="s">
        <v>47</v>
      </c>
      <c r="D524" s="11" t="s">
        <v>222</v>
      </c>
      <c r="E524" s="12" t="s">
        <v>223</v>
      </c>
      <c r="F524" s="12" t="s">
        <v>604</v>
      </c>
      <c r="G524" s="11" t="s">
        <v>149</v>
      </c>
      <c r="H524" s="18" t="str">
        <f>IFERROR(INDEX('المحافظات Governorates'!$E$2:$E$151,MATCH(D524,'المحافظات Governorates'!$A$2:$A$151,0)),"")</f>
        <v>Al-Muwayh</v>
      </c>
      <c r="I524" s="18" t="str">
        <f>IFERROR(INDEX('المناطق Regions'!$C$2:$C$15,MATCH(B524,'المناطق Regions'!$A$2:$A$15,0)),"")</f>
        <v>Makkah Al-Mukarramah</v>
      </c>
      <c r="J524" s="18" t="str">
        <f>F524&amp;", "&amp;E524&amp;", Saudi Arabia"</f>
        <v>الرفايع, المويه, Saudi Arabia</v>
      </c>
      <c r="K524" s="18">
        <v>23.384598</v>
      </c>
      <c r="L524" s="18">
        <v>41.404798</v>
      </c>
      <c r="M524" s="18">
        <v>2000</v>
      </c>
      <c r="N524" s="18" t="s">
        <v>642</v>
      </c>
    </row>
    <row r="525" ht="15" customHeight="1" spans="1:14" x14ac:dyDescent="0.25">
      <c r="A525" s="13" t="s">
        <v>1620</v>
      </c>
      <c r="B525" s="13">
        <v>2</v>
      </c>
      <c r="C525" s="14" t="s">
        <v>47</v>
      </c>
      <c r="D525" s="13" t="s">
        <v>222</v>
      </c>
      <c r="E525" s="14" t="s">
        <v>223</v>
      </c>
      <c r="F525" s="14" t="s">
        <v>1621</v>
      </c>
      <c r="G525" s="13" t="s">
        <v>149</v>
      </c>
      <c r="H525" s="18" t="str">
        <f>IFERROR(INDEX('المحافظات Governorates'!$E$2:$E$151,MATCH(D525,'المحافظات Governorates'!$A$2:$A$151,0)),"")</f>
        <v>Al-Muwayh</v>
      </c>
      <c r="I525" s="18" t="str">
        <f>IFERROR(INDEX('المناطق Regions'!$C$2:$C$15,MATCH(B525,'المناطق Regions'!$A$2:$A$15,0)),"")</f>
        <v>Makkah Al-Mukarramah</v>
      </c>
      <c r="J525" s="18" t="str">
        <f>F525&amp;", "&amp;E525&amp;", Saudi Arabia"</f>
        <v>الرويليه الصهلوج, المويه, Saudi Arabia</v>
      </c>
      <c r="K525" s="18"/>
      <c r="L525" s="18"/>
      <c r="M525" s="18"/>
      <c r="N525" s="18" t="s">
        <v>1609</v>
      </c>
    </row>
    <row r="526" ht="15" customHeight="1" spans="1:14" x14ac:dyDescent="0.25">
      <c r="A526" s="11" t="s">
        <v>1622</v>
      </c>
      <c r="B526" s="11">
        <v>2</v>
      </c>
      <c r="C526" s="12" t="s">
        <v>47</v>
      </c>
      <c r="D526" s="11" t="s">
        <v>222</v>
      </c>
      <c r="E526" s="12" t="s">
        <v>223</v>
      </c>
      <c r="F526" s="12" t="s">
        <v>1623</v>
      </c>
      <c r="G526" s="11" t="s">
        <v>113</v>
      </c>
      <c r="H526" s="18" t="str">
        <f>IFERROR(INDEX('المحافظات Governorates'!$E$2:$E$151,MATCH(D526,'المحافظات Governorates'!$A$2:$A$151,0)),"")</f>
        <v>Al-Muwayh</v>
      </c>
      <c r="I526" s="18" t="str">
        <f>IFERROR(INDEX('المناطق Regions'!$C$2:$C$15,MATCH(B526,'المناطق Regions'!$A$2:$A$15,0)),"")</f>
        <v>Makkah Al-Mukarramah</v>
      </c>
      <c r="J526" s="18" t="str">
        <f>F526&amp;", "&amp;E526&amp;", Saudi Arabia"</f>
        <v>ام الدوم, المويه, Saudi Arabia</v>
      </c>
      <c r="K526" s="18">
        <v>22.62771</v>
      </c>
      <c r="L526" s="18">
        <v>41.353786</v>
      </c>
      <c r="M526" s="18">
        <v>2000</v>
      </c>
      <c r="N526" s="18" t="s">
        <v>642</v>
      </c>
    </row>
    <row r="527" ht="15" customHeight="1" spans="1:14" x14ac:dyDescent="0.25">
      <c r="A527" s="13" t="s">
        <v>1624</v>
      </c>
      <c r="B527" s="13">
        <v>2</v>
      </c>
      <c r="C527" s="14" t="s">
        <v>47</v>
      </c>
      <c r="D527" s="13" t="s">
        <v>222</v>
      </c>
      <c r="E527" s="14" t="s">
        <v>223</v>
      </c>
      <c r="F527" s="14" t="s">
        <v>1625</v>
      </c>
      <c r="G527" s="13" t="s">
        <v>149</v>
      </c>
      <c r="H527" s="18" t="str">
        <f>IFERROR(INDEX('المحافظات Governorates'!$E$2:$E$151,MATCH(D527,'المحافظات Governorates'!$A$2:$A$151,0)),"")</f>
        <v>Al-Muwayh</v>
      </c>
      <c r="I527" s="18" t="str">
        <f>IFERROR(INDEX('المناطق Regions'!$C$2:$C$15,MATCH(B527,'المناطق Regions'!$A$2:$A$15,0)),"")</f>
        <v>Makkah Al-Mukarramah</v>
      </c>
      <c r="J527" s="18" t="str">
        <f>F527&amp;", "&amp;E527&amp;", Saudi Arabia"</f>
        <v>الركنه, المويه, Saudi Arabia</v>
      </c>
      <c r="K527" s="18"/>
      <c r="L527" s="18"/>
      <c r="M527" s="18"/>
      <c r="N527" s="18" t="s">
        <v>1609</v>
      </c>
    </row>
    <row r="528" ht="15" customHeight="1" spans="1:14" x14ac:dyDescent="0.25">
      <c r="A528" s="11" t="s">
        <v>1626</v>
      </c>
      <c r="B528" s="11">
        <v>2</v>
      </c>
      <c r="C528" s="12" t="s">
        <v>47</v>
      </c>
      <c r="D528" s="11" t="s">
        <v>222</v>
      </c>
      <c r="E528" s="12" t="s">
        <v>223</v>
      </c>
      <c r="F528" s="12" t="s">
        <v>1627</v>
      </c>
      <c r="G528" s="11" t="s">
        <v>149</v>
      </c>
      <c r="H528" s="18" t="str">
        <f>IFERROR(INDEX('المحافظات Governorates'!$E$2:$E$151,MATCH(D528,'المحافظات Governorates'!$A$2:$A$151,0)),"")</f>
        <v>Al-Muwayh</v>
      </c>
      <c r="I528" s="18" t="str">
        <f>IFERROR(INDEX('المناطق Regions'!$C$2:$C$15,MATCH(B528,'المناطق Regions'!$A$2:$A$15,0)),"")</f>
        <v>Makkah Al-Mukarramah</v>
      </c>
      <c r="J528" s="18" t="str">
        <f>F528&amp;", "&amp;E528&amp;", Saudi Arabia"</f>
        <v>العوالي, المويه, Saudi Arabia</v>
      </c>
      <c r="K528" s="18">
        <v>22.81513</v>
      </c>
      <c r="L528" s="18">
        <v>41.131901</v>
      </c>
      <c r="M528" s="18">
        <v>2000</v>
      </c>
      <c r="N528" s="18" t="s">
        <v>642</v>
      </c>
    </row>
    <row r="529" ht="15" customHeight="1" spans="1:14" x14ac:dyDescent="0.25">
      <c r="A529" s="13" t="s">
        <v>1628</v>
      </c>
      <c r="B529" s="13">
        <v>2</v>
      </c>
      <c r="C529" s="14" t="s">
        <v>47</v>
      </c>
      <c r="D529" s="13" t="s">
        <v>222</v>
      </c>
      <c r="E529" s="14" t="s">
        <v>223</v>
      </c>
      <c r="F529" s="14" t="s">
        <v>1629</v>
      </c>
      <c r="G529" s="13" t="s">
        <v>149</v>
      </c>
      <c r="H529" s="18" t="str">
        <f>IFERROR(INDEX('المحافظات Governorates'!$E$2:$E$151,MATCH(D529,'المحافظات Governorates'!$A$2:$A$151,0)),"")</f>
        <v>Al-Muwayh</v>
      </c>
      <c r="I529" s="18" t="str">
        <f>IFERROR(INDEX('المناطق Regions'!$C$2:$C$15,MATCH(B529,'المناطق Regions'!$A$2:$A$15,0)),"")</f>
        <v>Makkah Al-Mukarramah</v>
      </c>
      <c r="J529" s="18" t="str">
        <f>F529&amp;", "&amp;E529&amp;", Saudi Arabia"</f>
        <v>المزيرعه, المويه, Saudi Arabia</v>
      </c>
      <c r="K529" s="18"/>
      <c r="L529" s="18"/>
      <c r="M529" s="18"/>
      <c r="N529" s="18" t="s">
        <v>1609</v>
      </c>
    </row>
    <row r="530" ht="15" customHeight="1" spans="1:14" x14ac:dyDescent="0.25">
      <c r="A530" s="11" t="s">
        <v>1630</v>
      </c>
      <c r="B530" s="11">
        <v>2</v>
      </c>
      <c r="C530" s="12" t="s">
        <v>47</v>
      </c>
      <c r="D530" s="11" t="s">
        <v>222</v>
      </c>
      <c r="E530" s="12" t="s">
        <v>223</v>
      </c>
      <c r="F530" s="12" t="s">
        <v>1631</v>
      </c>
      <c r="G530" s="11" t="s">
        <v>149</v>
      </c>
      <c r="H530" s="18" t="str">
        <f>IFERROR(INDEX('المحافظات Governorates'!$E$2:$E$151,MATCH(D530,'المحافظات Governorates'!$A$2:$A$151,0)),"")</f>
        <v>Al-Muwayh</v>
      </c>
      <c r="I530" s="18" t="str">
        <f>IFERROR(INDEX('المناطق Regions'!$C$2:$C$15,MATCH(B530,'المناطق Regions'!$A$2:$A$15,0)),"")</f>
        <v>Makkah Al-Mukarramah</v>
      </c>
      <c r="J530" s="18" t="str">
        <f>F530&amp;", "&amp;E530&amp;", Saudi Arabia"</f>
        <v>النصائف, المويه, Saudi Arabia</v>
      </c>
      <c r="K530" s="18">
        <v>23.093472</v>
      </c>
      <c r="L530" s="18">
        <v>41.808566</v>
      </c>
      <c r="M530" s="18">
        <v>2000</v>
      </c>
      <c r="N530" s="18" t="s">
        <v>642</v>
      </c>
    </row>
    <row r="531" ht="15" customHeight="1" spans="1:14" x14ac:dyDescent="0.25">
      <c r="A531" s="13" t="s">
        <v>1632</v>
      </c>
      <c r="B531" s="13">
        <v>2</v>
      </c>
      <c r="C531" s="14" t="s">
        <v>47</v>
      </c>
      <c r="D531" s="13" t="s">
        <v>222</v>
      </c>
      <c r="E531" s="14" t="s">
        <v>223</v>
      </c>
      <c r="F531" s="14" t="s">
        <v>1633</v>
      </c>
      <c r="G531" s="13" t="s">
        <v>149</v>
      </c>
      <c r="H531" s="18" t="str">
        <f>IFERROR(INDEX('المحافظات Governorates'!$E$2:$E$151,MATCH(D531,'المحافظات Governorates'!$A$2:$A$151,0)),"")</f>
        <v>Al-Muwayh</v>
      </c>
      <c r="I531" s="18" t="str">
        <f>IFERROR(INDEX('المناطق Regions'!$C$2:$C$15,MATCH(B531,'المناطق Regions'!$A$2:$A$15,0)),"")</f>
        <v>Makkah Al-Mukarramah</v>
      </c>
      <c r="J531" s="18" t="str">
        <f>F531&amp;", "&amp;E531&amp;", Saudi Arabia"</f>
        <v>ملحه, المويه, Saudi Arabia</v>
      </c>
      <c r="K531" s="18"/>
      <c r="L531" s="18"/>
      <c r="M531" s="18"/>
      <c r="N531" s="18" t="s">
        <v>1609</v>
      </c>
    </row>
    <row r="532" ht="15" customHeight="1" spans="1:14" x14ac:dyDescent="0.25">
      <c r="A532" s="11" t="s">
        <v>1634</v>
      </c>
      <c r="B532" s="11">
        <v>2</v>
      </c>
      <c r="C532" s="12" t="s">
        <v>47</v>
      </c>
      <c r="D532" s="11" t="s">
        <v>225</v>
      </c>
      <c r="E532" s="12" t="s">
        <v>226</v>
      </c>
      <c r="F532" s="12" t="s">
        <v>1635</v>
      </c>
      <c r="G532" s="11" t="s">
        <v>113</v>
      </c>
      <c r="H532" s="18" t="str">
        <f>IFERROR(INDEX('المحافظات Governorates'!$E$2:$E$151,MATCH(D532,'المحافظات Governorates'!$A$2:$A$151,0)),"")</f>
        <v>Maysan</v>
      </c>
      <c r="I532" s="18" t="str">
        <f>IFERROR(INDEX('المناطق Regions'!$C$2:$C$15,MATCH(B532,'المناطق Regions'!$A$2:$A$15,0)),"")</f>
        <v>Makkah Al-Mukarramah</v>
      </c>
      <c r="J532" s="18" t="str">
        <f>F532&amp;", "&amp;E532&amp;", Saudi Arabia"</f>
        <v>بني سعد, ميسان, Saudi Arabia</v>
      </c>
      <c r="K532" s="18">
        <v>20.946618</v>
      </c>
      <c r="L532" s="18">
        <v>40.809354</v>
      </c>
      <c r="M532" s="18">
        <v>2000</v>
      </c>
      <c r="N532" s="18" t="s">
        <v>562</v>
      </c>
    </row>
    <row r="533" ht="15" customHeight="1" spans="1:14" x14ac:dyDescent="0.25">
      <c r="A533" s="13" t="s">
        <v>1636</v>
      </c>
      <c r="B533" s="13">
        <v>2</v>
      </c>
      <c r="C533" s="14" t="s">
        <v>47</v>
      </c>
      <c r="D533" s="13" t="s">
        <v>225</v>
      </c>
      <c r="E533" s="14" t="s">
        <v>226</v>
      </c>
      <c r="F533" s="14" t="s">
        <v>1637</v>
      </c>
      <c r="G533" s="13" t="s">
        <v>113</v>
      </c>
      <c r="H533" s="18" t="str">
        <f>IFERROR(INDEX('المحافظات Governorates'!$E$2:$E$151,MATCH(D533,'المحافظات Governorates'!$A$2:$A$151,0)),"")</f>
        <v>Maysan</v>
      </c>
      <c r="I533" s="18" t="str">
        <f>IFERROR(INDEX('المناطق Regions'!$C$2:$C$15,MATCH(B533,'المناطق Regions'!$A$2:$A$15,0)),"")</f>
        <v>Makkah Al-Mukarramah</v>
      </c>
      <c r="J533" s="18" t="str">
        <f>F533&amp;", "&amp;E533&amp;", Saudi Arabia"</f>
        <v>القريع بني مالك, ميسان, Saudi Arabia</v>
      </c>
      <c r="K533" s="18">
        <v>20.466674</v>
      </c>
      <c r="L533" s="18">
        <v>41.068731</v>
      </c>
      <c r="M533" s="18">
        <v>2000</v>
      </c>
      <c r="N533" s="18" t="s">
        <v>562</v>
      </c>
    </row>
    <row r="534" ht="15" customHeight="1" spans="1:14" x14ac:dyDescent="0.25">
      <c r="A534" s="11" t="s">
        <v>1638</v>
      </c>
      <c r="B534" s="11">
        <v>2</v>
      </c>
      <c r="C534" s="12" t="s">
        <v>47</v>
      </c>
      <c r="D534" s="11" t="s">
        <v>225</v>
      </c>
      <c r="E534" s="12" t="s">
        <v>226</v>
      </c>
      <c r="F534" s="12" t="s">
        <v>1639</v>
      </c>
      <c r="G534" s="11" t="s">
        <v>113</v>
      </c>
      <c r="H534" s="18" t="str">
        <f>IFERROR(INDEX('المحافظات Governorates'!$E$2:$E$151,MATCH(D534,'المحافظات Governorates'!$A$2:$A$151,0)),"")</f>
        <v>Maysan</v>
      </c>
      <c r="I534" s="18" t="str">
        <f>IFERROR(INDEX('المناطق Regions'!$C$2:$C$15,MATCH(B534,'المناطق Regions'!$A$2:$A$15,0)),"")</f>
        <v>Makkah Al-Mukarramah</v>
      </c>
      <c r="J534" s="18" t="str">
        <f>F534&amp;", "&amp;E534&amp;", Saudi Arabia"</f>
        <v>ثقيف, ميسان, Saudi Arabia</v>
      </c>
      <c r="K534" s="18">
        <v>20.831617</v>
      </c>
      <c r="L534" s="18">
        <v>41.025571</v>
      </c>
      <c r="M534" s="18">
        <v>76011</v>
      </c>
      <c r="N534" s="18" t="s">
        <v>1280</v>
      </c>
    </row>
    <row r="535" ht="15" customHeight="1" spans="1:14" x14ac:dyDescent="0.25">
      <c r="A535" s="13" t="s">
        <v>1640</v>
      </c>
      <c r="B535" s="13">
        <v>2</v>
      </c>
      <c r="C535" s="14" t="s">
        <v>47</v>
      </c>
      <c r="D535" s="13" t="s">
        <v>225</v>
      </c>
      <c r="E535" s="14" t="s">
        <v>226</v>
      </c>
      <c r="F535" s="14" t="s">
        <v>1641</v>
      </c>
      <c r="G535" s="13" t="s">
        <v>113</v>
      </c>
      <c r="H535" s="18" t="str">
        <f>IFERROR(INDEX('المحافظات Governorates'!$E$2:$E$151,MATCH(D535,'المحافظات Governorates'!$A$2:$A$151,0)),"")</f>
        <v>Maysan</v>
      </c>
      <c r="I535" s="18" t="str">
        <f>IFERROR(INDEX('المناطق Regions'!$C$2:$C$15,MATCH(B535,'المناطق Regions'!$A$2:$A$15,0)),"")</f>
        <v>Makkah Al-Mukarramah</v>
      </c>
      <c r="J535" s="18" t="str">
        <f>F535&amp;", "&amp;E535&amp;", Saudi Arabia"</f>
        <v>حداد بني مالك, ميسان, Saudi Arabia</v>
      </c>
      <c r="K535" s="18">
        <v>20.59739</v>
      </c>
      <c r="L535" s="18">
        <v>41.050059</v>
      </c>
      <c r="M535" s="18">
        <v>2000</v>
      </c>
      <c r="N535" s="18" t="s">
        <v>562</v>
      </c>
    </row>
    <row r="536" ht="15" customHeight="1" spans="1:14" x14ac:dyDescent="0.25">
      <c r="A536" s="11" t="s">
        <v>1642</v>
      </c>
      <c r="B536" s="11">
        <v>2</v>
      </c>
      <c r="C536" s="12" t="s">
        <v>47</v>
      </c>
      <c r="D536" s="11" t="s">
        <v>225</v>
      </c>
      <c r="E536" s="12" t="s">
        <v>226</v>
      </c>
      <c r="F536" s="12" t="s">
        <v>1643</v>
      </c>
      <c r="G536" s="11" t="s">
        <v>113</v>
      </c>
      <c r="H536" s="18" t="str">
        <f>IFERROR(INDEX('المحافظات Governorates'!$E$2:$E$151,MATCH(D536,'المحافظات Governorates'!$A$2:$A$151,0)),"")</f>
        <v>Maysan</v>
      </c>
      <c r="I536" s="18" t="str">
        <f>IFERROR(INDEX('المناطق Regions'!$C$2:$C$15,MATCH(B536,'المناطق Regions'!$A$2:$A$15,0)),"")</f>
        <v>Makkah Al-Mukarramah</v>
      </c>
      <c r="J536" s="18" t="str">
        <f>F536&amp;", "&amp;E536&amp;", Saudi Arabia"</f>
        <v>ابوراكه, ميسان, Saudi Arabia</v>
      </c>
      <c r="K536" s="18">
        <v>20.933994</v>
      </c>
      <c r="L536" s="18">
        <v>41.201434</v>
      </c>
      <c r="M536" s="18">
        <v>2000</v>
      </c>
      <c r="N536" s="18" t="s">
        <v>562</v>
      </c>
    </row>
    <row r="537" ht="15" customHeight="1" spans="1:14" x14ac:dyDescent="0.25">
      <c r="A537" s="13" t="s">
        <v>1644</v>
      </c>
      <c r="B537" s="13">
        <v>2</v>
      </c>
      <c r="C537" s="14" t="s">
        <v>47</v>
      </c>
      <c r="D537" s="13" t="s">
        <v>225</v>
      </c>
      <c r="E537" s="14" t="s">
        <v>226</v>
      </c>
      <c r="F537" s="14" t="s">
        <v>1645</v>
      </c>
      <c r="G537" s="13" t="s">
        <v>149</v>
      </c>
      <c r="H537" s="18" t="str">
        <f>IFERROR(INDEX('المحافظات Governorates'!$E$2:$E$151,MATCH(D537,'المحافظات Governorates'!$A$2:$A$151,0)),"")</f>
        <v>Maysan</v>
      </c>
      <c r="I537" s="18" t="str">
        <f>IFERROR(INDEX('المناطق Regions'!$C$2:$C$15,MATCH(B537,'المناطق Regions'!$A$2:$A$15,0)),"")</f>
        <v>Makkah Al-Mukarramah</v>
      </c>
      <c r="J537" s="18" t="str">
        <f>F537&amp;", "&amp;E537&amp;", Saudi Arabia"</f>
        <v>الصور, ميسان, Saudi Arabia</v>
      </c>
      <c r="K537" s="18">
        <v>20.881227</v>
      </c>
      <c r="L537" s="18">
        <v>40.981237</v>
      </c>
      <c r="M537" s="18">
        <v>2000</v>
      </c>
      <c r="N537" s="18" t="s">
        <v>562</v>
      </c>
    </row>
    <row r="538" ht="15" customHeight="1" spans="1:14" x14ac:dyDescent="0.25">
      <c r="A538" s="11" t="s">
        <v>1646</v>
      </c>
      <c r="B538" s="11">
        <v>2</v>
      </c>
      <c r="C538" s="12" t="s">
        <v>47</v>
      </c>
      <c r="D538" s="11" t="s">
        <v>228</v>
      </c>
      <c r="E538" s="12" t="s">
        <v>229</v>
      </c>
      <c r="F538" s="12" t="s">
        <v>1647</v>
      </c>
      <c r="G538" s="11" t="s">
        <v>113</v>
      </c>
      <c r="H538" s="18" t="str">
        <f>IFERROR(INDEX('المحافظات Governorates'!$E$2:$E$151,MATCH(D538,'المحافظات Governorates'!$A$2:$A$151,0)),"")</f>
        <v>Al-Ardiyat</v>
      </c>
      <c r="I538" s="18" t="str">
        <f>IFERROR(INDEX('المناطق Regions'!$C$2:$C$15,MATCH(B538,'المناطق Regions'!$A$2:$A$15,0)),"")</f>
        <v>Makkah Al-Mukarramah</v>
      </c>
      <c r="J538" s="18" t="str">
        <f>F538&amp;", "&amp;E538&amp;", Saudi Arabia"</f>
        <v>العرضيه الشماليه, العرضيات, Saudi Arabia</v>
      </c>
      <c r="K538" s="18">
        <v>19.424201</v>
      </c>
      <c r="L538" s="18">
        <v>41.716046</v>
      </c>
      <c r="M538" s="18">
        <v>43627</v>
      </c>
      <c r="N538" s="18" t="s">
        <v>1648</v>
      </c>
    </row>
    <row r="539" ht="15" customHeight="1" spans="1:14" x14ac:dyDescent="0.25">
      <c r="A539" s="13" t="s">
        <v>1649</v>
      </c>
      <c r="B539" s="13">
        <v>2</v>
      </c>
      <c r="C539" s="14" t="s">
        <v>47</v>
      </c>
      <c r="D539" s="13" t="s">
        <v>228</v>
      </c>
      <c r="E539" s="14" t="s">
        <v>229</v>
      </c>
      <c r="F539" s="14" t="s">
        <v>1650</v>
      </c>
      <c r="G539" s="13" t="s">
        <v>113</v>
      </c>
      <c r="H539" s="18" t="str">
        <f>IFERROR(INDEX('المحافظات Governorates'!$E$2:$E$151,MATCH(D539,'المحافظات Governorates'!$A$2:$A$151,0)),"")</f>
        <v>Al-Ardiyat</v>
      </c>
      <c r="I539" s="18" t="str">
        <f>IFERROR(INDEX('المناطق Regions'!$C$2:$C$15,MATCH(B539,'المناطق Regions'!$A$2:$A$15,0)),"")</f>
        <v>Makkah Al-Mukarramah</v>
      </c>
      <c r="J539" s="18" t="str">
        <f>F539&amp;", "&amp;E539&amp;", Saudi Arabia"</f>
        <v>العرضيه الجنوبية, العرضيات, Saudi Arabia</v>
      </c>
      <c r="K539" s="18">
        <v>19.424201</v>
      </c>
      <c r="L539" s="18">
        <v>41.716046</v>
      </c>
      <c r="M539" s="18">
        <v>43627</v>
      </c>
      <c r="N539" s="18" t="s">
        <v>1648</v>
      </c>
    </row>
    <row r="540" ht="15" customHeight="1" spans="1:14" x14ac:dyDescent="0.25">
      <c r="A540" s="11" t="s">
        <v>1651</v>
      </c>
      <c r="B540" s="11">
        <v>2</v>
      </c>
      <c r="C540" s="12" t="s">
        <v>47</v>
      </c>
      <c r="D540" s="11" t="s">
        <v>228</v>
      </c>
      <c r="E540" s="12" t="s">
        <v>229</v>
      </c>
      <c r="F540" s="12" t="s">
        <v>1652</v>
      </c>
      <c r="G540" s="11" t="s">
        <v>149</v>
      </c>
      <c r="H540" s="18" t="str">
        <f>IFERROR(INDEX('المحافظات Governorates'!$E$2:$E$151,MATCH(D540,'المحافظات Governorates'!$A$2:$A$151,0)),"")</f>
        <v>Al-Ardiyat</v>
      </c>
      <c r="I540" s="18" t="str">
        <f>IFERROR(INDEX('المناطق Regions'!$C$2:$C$15,MATCH(B540,'المناطق Regions'!$A$2:$A$15,0)),"")</f>
        <v>Makkah Al-Mukarramah</v>
      </c>
      <c r="J540" s="18" t="str">
        <f>F540&amp;", "&amp;E540&amp;", Saudi Arabia"</f>
        <v>الويد, العرضيات, Saudi Arabia</v>
      </c>
      <c r="K540" s="18">
        <v>19.424201</v>
      </c>
      <c r="L540" s="18">
        <v>41.716046</v>
      </c>
      <c r="M540" s="18">
        <v>43627</v>
      </c>
      <c r="N540" s="18" t="s">
        <v>1648</v>
      </c>
    </row>
    <row r="541" ht="15" customHeight="1" spans="1:14" x14ac:dyDescent="0.25">
      <c r="A541" s="13" t="s">
        <v>1653</v>
      </c>
      <c r="B541" s="13">
        <v>2</v>
      </c>
      <c r="C541" s="14" t="s">
        <v>47</v>
      </c>
      <c r="D541" s="13" t="s">
        <v>231</v>
      </c>
      <c r="E541" s="14" t="s">
        <v>232</v>
      </c>
      <c r="F541" s="14" t="s">
        <v>1654</v>
      </c>
      <c r="G541" s="13" t="s">
        <v>113</v>
      </c>
      <c r="H541" s="18" t="str">
        <f>IFERROR(INDEX('المحافظات Governorates'!$E$2:$E$151,MATCH(D541,'المحافظات Governorates'!$A$2:$A$151,0)),"")</f>
        <v>Adham</v>
      </c>
      <c r="I541" s="18" t="str">
        <f>IFERROR(INDEX('المناطق Regions'!$C$2:$C$15,MATCH(B541,'المناطق Regions'!$A$2:$A$15,0)),"")</f>
        <v>Makkah Al-Mukarramah</v>
      </c>
      <c r="J541" s="18" t="str">
        <f>F541&amp;", "&amp;E541&amp;", Saudi Arabia"</f>
        <v>سوق العين, أضم, Saudi Arabia</v>
      </c>
      <c r="K541" s="18">
        <v>20.436175</v>
      </c>
      <c r="L541" s="18">
        <v>40.830231</v>
      </c>
      <c r="M541" s="18">
        <v>40000</v>
      </c>
      <c r="N541" s="18" t="s">
        <v>1130</v>
      </c>
    </row>
    <row r="542" ht="15" customHeight="1" spans="1:14" x14ac:dyDescent="0.25">
      <c r="A542" s="11" t="s">
        <v>1655</v>
      </c>
      <c r="B542" s="11">
        <v>2</v>
      </c>
      <c r="C542" s="12" t="s">
        <v>47</v>
      </c>
      <c r="D542" s="11" t="s">
        <v>231</v>
      </c>
      <c r="E542" s="12" t="s">
        <v>232</v>
      </c>
      <c r="F542" s="12" t="s">
        <v>1656</v>
      </c>
      <c r="G542" s="11" t="s">
        <v>113</v>
      </c>
      <c r="H542" s="18" t="str">
        <f>IFERROR(INDEX('المحافظات Governorates'!$E$2:$E$151,MATCH(D542,'المحافظات Governorates'!$A$2:$A$151,0)),"")</f>
        <v>Adham</v>
      </c>
      <c r="I542" s="18" t="str">
        <f>IFERROR(INDEX('المناطق Regions'!$C$2:$C$15,MATCH(B542,'المناطق Regions'!$A$2:$A$15,0)),"")</f>
        <v>Makkah Al-Mukarramah</v>
      </c>
      <c r="J542" s="18" t="str">
        <f>F542&amp;", "&amp;E542&amp;", Saudi Arabia"</f>
        <v>الجائزه, أضم, Saudi Arabia</v>
      </c>
      <c r="K542" s="18">
        <v>20.436175</v>
      </c>
      <c r="L542" s="18">
        <v>40.830231</v>
      </c>
      <c r="M542" s="18">
        <v>40000</v>
      </c>
      <c r="N542" s="18" t="s">
        <v>1130</v>
      </c>
    </row>
    <row r="543" ht="15" customHeight="1" spans="1:14" x14ac:dyDescent="0.25">
      <c r="A543" s="13" t="s">
        <v>1657</v>
      </c>
      <c r="B543" s="13">
        <v>2</v>
      </c>
      <c r="C543" s="14" t="s">
        <v>47</v>
      </c>
      <c r="D543" s="13" t="s">
        <v>231</v>
      </c>
      <c r="E543" s="14" t="s">
        <v>232</v>
      </c>
      <c r="F543" s="14" t="s">
        <v>1658</v>
      </c>
      <c r="G543" s="13" t="s">
        <v>149</v>
      </c>
      <c r="H543" s="18" t="str">
        <f>IFERROR(INDEX('المحافظات Governorates'!$E$2:$E$151,MATCH(D543,'المحافظات Governorates'!$A$2:$A$151,0)),"")</f>
        <v>Adham</v>
      </c>
      <c r="I543" s="18" t="str">
        <f>IFERROR(INDEX('المناطق Regions'!$C$2:$C$15,MATCH(B543,'المناطق Regions'!$A$2:$A$15,0)),"")</f>
        <v>Makkah Al-Mukarramah</v>
      </c>
      <c r="J543" s="18" t="str">
        <f>F543&amp;", "&amp;E543&amp;", Saudi Arabia"</f>
        <v>المرقبان, أضم, Saudi Arabia</v>
      </c>
      <c r="K543" s="18">
        <v>20.436175</v>
      </c>
      <c r="L543" s="18">
        <v>40.830231</v>
      </c>
      <c r="M543" s="18">
        <v>40000</v>
      </c>
      <c r="N543" s="18" t="s">
        <v>1130</v>
      </c>
    </row>
    <row r="544" ht="15" customHeight="1" spans="1:14" x14ac:dyDescent="0.25">
      <c r="A544" s="11" t="s">
        <v>1659</v>
      </c>
      <c r="B544" s="11">
        <v>2</v>
      </c>
      <c r="C544" s="12" t="s">
        <v>47</v>
      </c>
      <c r="D544" s="11" t="s">
        <v>231</v>
      </c>
      <c r="E544" s="12" t="s">
        <v>232</v>
      </c>
      <c r="F544" s="12" t="s">
        <v>1660</v>
      </c>
      <c r="G544" s="11" t="s">
        <v>149</v>
      </c>
      <c r="H544" s="18" t="str">
        <f>IFERROR(INDEX('المحافظات Governorates'!$E$2:$E$151,MATCH(D544,'المحافظات Governorates'!$A$2:$A$151,0)),"")</f>
        <v>Adham</v>
      </c>
      <c r="I544" s="18" t="str">
        <f>IFERROR(INDEX('المناطق Regions'!$C$2:$C$15,MATCH(B544,'المناطق Regions'!$A$2:$A$15,0)),"")</f>
        <v>Makkah Al-Mukarramah</v>
      </c>
      <c r="J544" s="18" t="str">
        <f>F544&amp;", "&amp;E544&amp;", Saudi Arabia"</f>
        <v>حقال, أضم, Saudi Arabia</v>
      </c>
      <c r="K544" s="18">
        <v>20.436175</v>
      </c>
      <c r="L544" s="18">
        <v>40.830231</v>
      </c>
      <c r="M544" s="18">
        <v>40000</v>
      </c>
      <c r="N544" s="18" t="s">
        <v>1130</v>
      </c>
    </row>
    <row r="545" ht="15" customHeight="1" spans="1:14" x14ac:dyDescent="0.25">
      <c r="A545" s="13" t="s">
        <v>1661</v>
      </c>
      <c r="B545" s="13">
        <v>3</v>
      </c>
      <c r="C545" s="14" t="s">
        <v>51</v>
      </c>
      <c r="D545" s="13" t="s">
        <v>234</v>
      </c>
      <c r="E545" s="14" t="s">
        <v>51</v>
      </c>
      <c r="F545" s="14" t="s">
        <v>1662</v>
      </c>
      <c r="G545" s="13" t="s">
        <v>113</v>
      </c>
      <c r="H545" s="18" t="str">
        <f>IFERROR(INDEX('المحافظات Governorates'!$E$2:$E$151,MATCH(D545,'المحافظات Governorates'!$A$2:$A$151,0)),"")</f>
        <v>Madinah Al-Munawwarah</v>
      </c>
      <c r="I545" s="18" t="str">
        <f>IFERROR(INDEX('المناطق Regions'!$C$2:$C$15,MATCH(B545,'المناطق Regions'!$A$2:$A$15,0)),"")</f>
        <v>Madinah Al-Munawwarah</v>
      </c>
      <c r="J545" s="18" t="str">
        <f>F545&amp;", "&amp;E545&amp;", Saudi Arabia"</f>
        <v>المليليح, المدينة المنورة, Saudi Arabia</v>
      </c>
      <c r="K545" s="18">
        <v>24.829722</v>
      </c>
      <c r="L545" s="18">
        <v>39.159722</v>
      </c>
      <c r="M545" s="18">
        <v>2000</v>
      </c>
      <c r="N545" s="18" t="s">
        <v>562</v>
      </c>
    </row>
    <row r="546" ht="15" customHeight="1" spans="1:14" x14ac:dyDescent="0.25">
      <c r="A546" s="11" t="s">
        <v>1663</v>
      </c>
      <c r="B546" s="11">
        <v>3</v>
      </c>
      <c r="C546" s="12" t="s">
        <v>51</v>
      </c>
      <c r="D546" s="11" t="s">
        <v>234</v>
      </c>
      <c r="E546" s="12" t="s">
        <v>51</v>
      </c>
      <c r="F546" s="12" t="s">
        <v>1664</v>
      </c>
      <c r="G546" s="11" t="s">
        <v>113</v>
      </c>
      <c r="H546" s="18" t="str">
        <f>IFERROR(INDEX('المحافظات Governorates'!$E$2:$E$151,MATCH(D546,'المحافظات Governorates'!$A$2:$A$151,0)),"")</f>
        <v>Madinah Al-Munawwarah</v>
      </c>
      <c r="I546" s="18" t="str">
        <f>IFERROR(INDEX('المناطق Regions'!$C$2:$C$15,MATCH(B546,'المناطق Regions'!$A$2:$A$15,0)),"")</f>
        <v>Madinah Al-Munawwarah</v>
      </c>
      <c r="J546" s="18" t="str">
        <f>F546&amp;", "&amp;E546&amp;", Saudi Arabia"</f>
        <v>المندسة, المدينة المنورة, Saudi Arabia</v>
      </c>
      <c r="K546" s="18">
        <v>24.637415</v>
      </c>
      <c r="L546" s="18">
        <v>39.30785</v>
      </c>
      <c r="M546" s="18">
        <v>2000</v>
      </c>
      <c r="N546" s="18" t="s">
        <v>562</v>
      </c>
    </row>
    <row r="547" ht="15" customHeight="1" spans="1:14" x14ac:dyDescent="0.25">
      <c r="A547" s="13" t="s">
        <v>1665</v>
      </c>
      <c r="B547" s="13">
        <v>3</v>
      </c>
      <c r="C547" s="14" t="s">
        <v>51</v>
      </c>
      <c r="D547" s="13" t="s">
        <v>234</v>
      </c>
      <c r="E547" s="14" t="s">
        <v>51</v>
      </c>
      <c r="F547" s="14" t="s">
        <v>1666</v>
      </c>
      <c r="G547" s="13" t="s">
        <v>113</v>
      </c>
      <c r="H547" s="18" t="str">
        <f>IFERROR(INDEX('المحافظات Governorates'!$E$2:$E$151,MATCH(D547,'المحافظات Governorates'!$A$2:$A$151,0)),"")</f>
        <v>Madinah Al-Munawwarah</v>
      </c>
      <c r="I547" s="18" t="str">
        <f>IFERROR(INDEX('المناطق Regions'!$C$2:$C$15,MATCH(B547,'المناطق Regions'!$A$2:$A$15,0)),"")</f>
        <v>Madinah Al-Munawwarah</v>
      </c>
      <c r="J547" s="18" t="str">
        <f>F547&amp;", "&amp;E547&amp;", Saudi Arabia"</f>
        <v>شجوى, المدينة المنورة, Saudi Arabia</v>
      </c>
      <c r="K547" s="18">
        <v>25.056863</v>
      </c>
      <c r="L547" s="18">
        <v>38.977544</v>
      </c>
      <c r="M547" s="18">
        <v>2000</v>
      </c>
      <c r="N547" s="18" t="s">
        <v>562</v>
      </c>
    </row>
    <row r="548" ht="15" customHeight="1" spans="1:14" x14ac:dyDescent="0.25">
      <c r="A548" s="11" t="s">
        <v>1667</v>
      </c>
      <c r="B548" s="11">
        <v>3</v>
      </c>
      <c r="C548" s="12" t="s">
        <v>51</v>
      </c>
      <c r="D548" s="11" t="s">
        <v>234</v>
      </c>
      <c r="E548" s="12" t="s">
        <v>51</v>
      </c>
      <c r="F548" s="12" t="s">
        <v>1668</v>
      </c>
      <c r="G548" s="11" t="s">
        <v>113</v>
      </c>
      <c r="H548" s="18" t="str">
        <f>IFERROR(INDEX('المحافظات Governorates'!$E$2:$E$151,MATCH(D548,'المحافظات Governorates'!$A$2:$A$151,0)),"")</f>
        <v>Madinah Al-Munawwarah</v>
      </c>
      <c r="I548" s="18" t="str">
        <f>IFERROR(INDEX('المناطق Regions'!$C$2:$C$15,MATCH(B548,'المناطق Regions'!$A$2:$A$15,0)),"")</f>
        <v>Madinah Al-Munawwarah</v>
      </c>
      <c r="J548" s="18" t="str">
        <f>F548&amp;", "&amp;E548&amp;", Saudi Arabia"</f>
        <v>الفريش, المدينة المنورة, Saudi Arabia</v>
      </c>
      <c r="K548" s="18">
        <v>24.22</v>
      </c>
      <c r="L548" s="18">
        <v>39.281389</v>
      </c>
      <c r="M548" s="18">
        <v>2000</v>
      </c>
      <c r="N548" s="18" t="s">
        <v>562</v>
      </c>
    </row>
    <row r="549" ht="15" customHeight="1" spans="1:14" x14ac:dyDescent="0.25">
      <c r="A549" s="13" t="s">
        <v>1669</v>
      </c>
      <c r="B549" s="13">
        <v>3</v>
      </c>
      <c r="C549" s="14" t="s">
        <v>51</v>
      </c>
      <c r="D549" s="13" t="s">
        <v>234</v>
      </c>
      <c r="E549" s="14" t="s">
        <v>51</v>
      </c>
      <c r="F549" s="14" t="s">
        <v>1670</v>
      </c>
      <c r="G549" s="13" t="s">
        <v>113</v>
      </c>
      <c r="H549" s="18" t="str">
        <f>IFERROR(INDEX('المحافظات Governorates'!$E$2:$E$151,MATCH(D549,'المحافظات Governorates'!$A$2:$A$151,0)),"")</f>
        <v>Madinah Al-Munawwarah</v>
      </c>
      <c r="I549" s="18" t="str">
        <f>IFERROR(INDEX('المناطق Regions'!$C$2:$C$15,MATCH(B549,'المناطق Regions'!$A$2:$A$15,0)),"")</f>
        <v>Madinah Al-Munawwarah</v>
      </c>
      <c r="J549" s="18" t="str">
        <f>F549&amp;", "&amp;E549&amp;", Saudi Arabia"</f>
        <v>ابار الماشي, المدينة المنورة, Saudi Arabia</v>
      </c>
      <c r="K549" s="18">
        <v>24.504779</v>
      </c>
      <c r="L549" s="18">
        <v>39.695744</v>
      </c>
      <c r="M549" s="18">
        <v>150519</v>
      </c>
      <c r="N549" s="18" t="s">
        <v>681</v>
      </c>
    </row>
    <row r="550" ht="15" customHeight="1" spans="1:14" x14ac:dyDescent="0.25">
      <c r="A550" s="11" t="s">
        <v>1671</v>
      </c>
      <c r="B550" s="11">
        <v>3</v>
      </c>
      <c r="C550" s="12" t="s">
        <v>51</v>
      </c>
      <c r="D550" s="11" t="s">
        <v>234</v>
      </c>
      <c r="E550" s="12" t="s">
        <v>51</v>
      </c>
      <c r="F550" s="12" t="s">
        <v>1672</v>
      </c>
      <c r="G550" s="11" t="s">
        <v>149</v>
      </c>
      <c r="H550" s="18" t="str">
        <f>IFERROR(INDEX('المحافظات Governorates'!$E$2:$E$151,MATCH(D550,'المحافظات Governorates'!$A$2:$A$151,0)),"")</f>
        <v>Madinah Al-Munawwarah</v>
      </c>
      <c r="I550" s="18" t="str">
        <f>IFERROR(INDEX('المناطق Regions'!$C$2:$C$15,MATCH(B550,'المناطق Regions'!$A$2:$A$15,0)),"")</f>
        <v>Madinah Al-Munawwarah</v>
      </c>
      <c r="J550" s="18" t="str">
        <f>F550&amp;", "&amp;E550&amp;", Saudi Arabia"</f>
        <v>الفقره, المدينة المنورة, Saudi Arabia</v>
      </c>
      <c r="K550" s="18">
        <v>24.350476</v>
      </c>
      <c r="L550" s="18">
        <v>38.9444</v>
      </c>
      <c r="M550" s="18">
        <v>2000</v>
      </c>
      <c r="N550" s="18" t="s">
        <v>562</v>
      </c>
    </row>
    <row r="551" ht="15" customHeight="1" spans="1:14" x14ac:dyDescent="0.25">
      <c r="A551" s="13" t="s">
        <v>1673</v>
      </c>
      <c r="B551" s="13">
        <v>3</v>
      </c>
      <c r="C551" s="14" t="s">
        <v>51</v>
      </c>
      <c r="D551" s="13" t="s">
        <v>234</v>
      </c>
      <c r="E551" s="14" t="s">
        <v>51</v>
      </c>
      <c r="F551" s="14" t="s">
        <v>1674</v>
      </c>
      <c r="G551" s="13" t="s">
        <v>113</v>
      </c>
      <c r="H551" s="18" t="str">
        <f>IFERROR(INDEX('المحافظات Governorates'!$E$2:$E$151,MATCH(D551,'المحافظات Governorates'!$A$2:$A$151,0)),"")</f>
        <v>Madinah Al-Munawwarah</v>
      </c>
      <c r="I551" s="18" t="str">
        <f>IFERROR(INDEX('المناطق Regions'!$C$2:$C$15,MATCH(B551,'المناطق Regions'!$A$2:$A$15,0)),"")</f>
        <v>Madinah Al-Munawwarah</v>
      </c>
      <c r="J551" s="18" t="str">
        <f>F551&amp;", "&amp;E551&amp;", Saudi Arabia"</f>
        <v>الصويدرة, المدينة المنورة, Saudi Arabia</v>
      </c>
      <c r="K551" s="18">
        <v>24.726944</v>
      </c>
      <c r="L551" s="18">
        <v>40.151389</v>
      </c>
      <c r="M551" s="18">
        <v>2000</v>
      </c>
      <c r="N551" s="18" t="s">
        <v>562</v>
      </c>
    </row>
    <row r="552" ht="15" customHeight="1" spans="1:14" x14ac:dyDescent="0.25">
      <c r="A552" s="11" t="s">
        <v>1675</v>
      </c>
      <c r="B552" s="11">
        <v>3</v>
      </c>
      <c r="C552" s="12" t="s">
        <v>51</v>
      </c>
      <c r="D552" s="11" t="s">
        <v>234</v>
      </c>
      <c r="E552" s="12" t="s">
        <v>51</v>
      </c>
      <c r="F552" s="12" t="s">
        <v>1611</v>
      </c>
      <c r="G552" s="11" t="s">
        <v>149</v>
      </c>
      <c r="H552" s="18" t="str">
        <f>IFERROR(INDEX('المحافظات Governorates'!$E$2:$E$151,MATCH(D552,'المحافظات Governorates'!$A$2:$A$151,0)),"")</f>
        <v>Madinah Al-Munawwarah</v>
      </c>
      <c r="I552" s="18" t="str">
        <f>IFERROR(INDEX('المناطق Regions'!$C$2:$C$15,MATCH(B552,'المناطق Regions'!$A$2:$A$15,0)),"")</f>
        <v>Madinah Al-Munawwarah</v>
      </c>
      <c r="J552" s="18" t="str">
        <f>F552&amp;", "&amp;E552&amp;", Saudi Arabia"</f>
        <v>الراغيه, المدينة المنورة, Saudi Arabia</v>
      </c>
      <c r="K552" s="18">
        <v>23.980277</v>
      </c>
      <c r="L552" s="18">
        <v>39.420125</v>
      </c>
      <c r="M552" s="18">
        <v>2000</v>
      </c>
      <c r="N552" s="18" t="s">
        <v>562</v>
      </c>
    </row>
    <row r="553" ht="15" customHeight="1" spans="1:14" x14ac:dyDescent="0.25">
      <c r="A553" s="13" t="s">
        <v>1676</v>
      </c>
      <c r="B553" s="13">
        <v>3</v>
      </c>
      <c r="C553" s="14" t="s">
        <v>51</v>
      </c>
      <c r="D553" s="13" t="s">
        <v>234</v>
      </c>
      <c r="E553" s="14" t="s">
        <v>51</v>
      </c>
      <c r="F553" s="14" t="s">
        <v>1677</v>
      </c>
      <c r="G553" s="13" t="s">
        <v>149</v>
      </c>
      <c r="H553" s="18" t="str">
        <f>IFERROR(INDEX('المحافظات Governorates'!$E$2:$E$151,MATCH(D553,'المحافظات Governorates'!$A$2:$A$151,0)),"")</f>
        <v>Madinah Al-Munawwarah</v>
      </c>
      <c r="I553" s="18" t="str">
        <f>IFERROR(INDEX('المناطق Regions'!$C$2:$C$15,MATCH(B553,'المناطق Regions'!$A$2:$A$15,0)),"")</f>
        <v>Madinah Al-Munawwarah</v>
      </c>
      <c r="J553" s="18" t="str">
        <f>F553&amp;", "&amp;E553&amp;", Saudi Arabia"</f>
        <v>العوينة, المدينة المنورة, Saudi Arabia</v>
      </c>
      <c r="K553" s="18">
        <v>24.624285</v>
      </c>
      <c r="L553" s="18">
        <v>39.827023</v>
      </c>
      <c r="M553" s="18">
        <v>2000</v>
      </c>
      <c r="N553" s="18" t="s">
        <v>562</v>
      </c>
    </row>
    <row r="554" ht="15" customHeight="1" spans="1:14" x14ac:dyDescent="0.25">
      <c r="A554" s="11" t="s">
        <v>1678</v>
      </c>
      <c r="B554" s="11">
        <v>3</v>
      </c>
      <c r="C554" s="12" t="s">
        <v>51</v>
      </c>
      <c r="D554" s="11" t="s">
        <v>234</v>
      </c>
      <c r="E554" s="12" t="s">
        <v>51</v>
      </c>
      <c r="F554" s="12" t="s">
        <v>1679</v>
      </c>
      <c r="G554" s="11" t="s">
        <v>149</v>
      </c>
      <c r="H554" s="18" t="str">
        <f>IFERROR(INDEX('المحافظات Governorates'!$E$2:$E$151,MATCH(D554,'المحافظات Governorates'!$A$2:$A$151,0)),"")</f>
        <v>Madinah Al-Munawwarah</v>
      </c>
      <c r="I554" s="18" t="str">
        <f>IFERROR(INDEX('المناطق Regions'!$C$2:$C$15,MATCH(B554,'المناطق Regions'!$A$2:$A$15,0)),"")</f>
        <v>Madinah Al-Munawwarah</v>
      </c>
      <c r="J554" s="18" t="str">
        <f>F554&amp;", "&amp;E554&amp;", Saudi Arabia"</f>
        <v>الحار, المدينة المنورة, Saudi Arabia</v>
      </c>
      <c r="K554" s="18">
        <v>24.504779</v>
      </c>
      <c r="L554" s="18">
        <v>39.695744</v>
      </c>
      <c r="M554" s="18">
        <v>150519</v>
      </c>
      <c r="N554" s="18" t="s">
        <v>681</v>
      </c>
    </row>
    <row r="555" ht="15" customHeight="1" spans="1:14" x14ac:dyDescent="0.25">
      <c r="A555" s="13" t="s">
        <v>1680</v>
      </c>
      <c r="B555" s="13">
        <v>3</v>
      </c>
      <c r="C555" s="14" t="s">
        <v>51</v>
      </c>
      <c r="D555" s="13" t="s">
        <v>234</v>
      </c>
      <c r="E555" s="14" t="s">
        <v>51</v>
      </c>
      <c r="F555" s="14" t="s">
        <v>1681</v>
      </c>
      <c r="G555" s="13" t="s">
        <v>113</v>
      </c>
      <c r="H555" s="18" t="str">
        <f>IFERROR(INDEX('المحافظات Governorates'!$E$2:$E$151,MATCH(D555,'المحافظات Governorates'!$A$2:$A$151,0)),"")</f>
        <v>Madinah Al-Munawwarah</v>
      </c>
      <c r="I555" s="18" t="str">
        <f>IFERROR(INDEX('المناطق Regions'!$C$2:$C$15,MATCH(B555,'المناطق Regions'!$A$2:$A$15,0)),"")</f>
        <v>Madinah Al-Munawwarah</v>
      </c>
      <c r="J555" s="18" t="str">
        <f>F555&amp;", "&amp;E555&amp;", Saudi Arabia"</f>
        <v>الضميريه, المدينة المنورة, Saudi Arabia</v>
      </c>
      <c r="K555" s="18">
        <v>23.981667</v>
      </c>
      <c r="L555" s="18">
        <v>40.368056</v>
      </c>
      <c r="M555" s="18">
        <v>2000</v>
      </c>
      <c r="N555" s="18" t="s">
        <v>562</v>
      </c>
    </row>
    <row r="556" ht="15" customHeight="1" spans="1:14" x14ac:dyDescent="0.25">
      <c r="A556" s="11" t="s">
        <v>1682</v>
      </c>
      <c r="B556" s="11">
        <v>3</v>
      </c>
      <c r="C556" s="12" t="s">
        <v>51</v>
      </c>
      <c r="D556" s="11" t="s">
        <v>234</v>
      </c>
      <c r="E556" s="12" t="s">
        <v>51</v>
      </c>
      <c r="F556" s="12" t="s">
        <v>1683</v>
      </c>
      <c r="G556" s="11" t="s">
        <v>149</v>
      </c>
      <c r="H556" s="18" t="str">
        <f>IFERROR(INDEX('المحافظات Governorates'!$E$2:$E$151,MATCH(D556,'المحافظات Governorates'!$A$2:$A$151,0)),"")</f>
        <v>Madinah Al-Munawwarah</v>
      </c>
      <c r="I556" s="18" t="str">
        <f>IFERROR(INDEX('المناطق Regions'!$C$2:$C$15,MATCH(B556,'المناطق Regions'!$A$2:$A$15,0)),"")</f>
        <v>Madinah Al-Munawwarah</v>
      </c>
      <c r="J556" s="18" t="str">
        <f>F556&amp;", "&amp;E556&amp;", Saudi Arabia"</f>
        <v>ضعه, المدينة المنورة, Saudi Arabia</v>
      </c>
      <c r="K556" s="18">
        <v>24.196871</v>
      </c>
      <c r="L556" s="18">
        <v>40.001218</v>
      </c>
      <c r="M556" s="18">
        <v>2000</v>
      </c>
      <c r="N556" s="18" t="s">
        <v>562</v>
      </c>
    </row>
    <row r="557" ht="15" customHeight="1" spans="1:14" x14ac:dyDescent="0.25">
      <c r="A557" s="13" t="s">
        <v>1684</v>
      </c>
      <c r="B557" s="13">
        <v>3</v>
      </c>
      <c r="C557" s="14" t="s">
        <v>51</v>
      </c>
      <c r="D557" s="13" t="s">
        <v>234</v>
      </c>
      <c r="E557" s="14" t="s">
        <v>51</v>
      </c>
      <c r="F557" s="14" t="s">
        <v>1685</v>
      </c>
      <c r="G557" s="13" t="s">
        <v>149</v>
      </c>
      <c r="H557" s="18" t="str">
        <f>IFERROR(INDEX('المحافظات Governorates'!$E$2:$E$151,MATCH(D557,'المحافظات Governorates'!$A$2:$A$151,0)),"")</f>
        <v>Madinah Al-Munawwarah</v>
      </c>
      <c r="I557" s="18" t="str">
        <f>IFERROR(INDEX('المناطق Regions'!$C$2:$C$15,MATCH(B557,'المناطق Regions'!$A$2:$A$15,0)),"")</f>
        <v>Madinah Al-Munawwarah</v>
      </c>
      <c r="J557" s="18" t="str">
        <f>F557&amp;", "&amp;E557&amp;", Saudi Arabia"</f>
        <v>غراب, المدينة المنورة, Saudi Arabia</v>
      </c>
      <c r="K557" s="18">
        <v>24.376312</v>
      </c>
      <c r="L557" s="18">
        <v>39.071243</v>
      </c>
      <c r="M557" s="18">
        <v>2000</v>
      </c>
      <c r="N557" s="18" t="s">
        <v>562</v>
      </c>
    </row>
    <row r="558" ht="15" customHeight="1" spans="1:14" x14ac:dyDescent="0.25">
      <c r="A558" s="11" t="s">
        <v>1686</v>
      </c>
      <c r="B558" s="11">
        <v>3</v>
      </c>
      <c r="C558" s="12" t="s">
        <v>51</v>
      </c>
      <c r="D558" s="11" t="s">
        <v>234</v>
      </c>
      <c r="E558" s="12" t="s">
        <v>51</v>
      </c>
      <c r="F558" s="12" t="s">
        <v>1687</v>
      </c>
      <c r="G558" s="11" t="s">
        <v>149</v>
      </c>
      <c r="H558" s="18" t="str">
        <f>IFERROR(INDEX('المحافظات Governorates'!$E$2:$E$151,MATCH(D558,'المحافظات Governorates'!$A$2:$A$151,0)),"")</f>
        <v>Madinah Al-Munawwarah</v>
      </c>
      <c r="I558" s="18" t="str">
        <f>IFERROR(INDEX('المناطق Regions'!$C$2:$C$15,MATCH(B558,'المناطق Regions'!$A$2:$A$15,0)),"")</f>
        <v>Madinah Al-Munawwarah</v>
      </c>
      <c r="J558" s="18" t="str">
        <f>F558&amp;", "&amp;E558&amp;", Saudi Arabia"</f>
        <v>حزره, المدينة المنورة, Saudi Arabia</v>
      </c>
      <c r="K558" s="18">
        <v>24.084599</v>
      </c>
      <c r="L558" s="18">
        <v>40.478966</v>
      </c>
      <c r="M558" s="18">
        <v>2000</v>
      </c>
      <c r="N558" s="18" t="s">
        <v>562</v>
      </c>
    </row>
    <row r="559" ht="15" customHeight="1" spans="1:14" x14ac:dyDescent="0.25">
      <c r="A559" s="13" t="s">
        <v>1688</v>
      </c>
      <c r="B559" s="13">
        <v>3</v>
      </c>
      <c r="C559" s="14" t="s">
        <v>51</v>
      </c>
      <c r="D559" s="13" t="s">
        <v>234</v>
      </c>
      <c r="E559" s="14" t="s">
        <v>51</v>
      </c>
      <c r="F559" s="14" t="s">
        <v>1689</v>
      </c>
      <c r="G559" s="13" t="s">
        <v>149</v>
      </c>
      <c r="H559" s="18" t="str">
        <f>IFERROR(INDEX('المحافظات Governorates'!$E$2:$E$151,MATCH(D559,'المحافظات Governorates'!$A$2:$A$151,0)),"")</f>
        <v>Madinah Al-Munawwarah</v>
      </c>
      <c r="I559" s="18" t="str">
        <f>IFERROR(INDEX('المناطق Regions'!$C$2:$C$15,MATCH(B559,'المناطق Regions'!$A$2:$A$15,0)),"")</f>
        <v>Madinah Al-Munawwarah</v>
      </c>
      <c r="J559" s="18" t="str">
        <f>F559&amp;", "&amp;E559&amp;", Saudi Arabia"</f>
        <v>المسبعة, المدينة المنورة, Saudi Arabia</v>
      </c>
      <c r="K559" s="18">
        <v>23.966656</v>
      </c>
      <c r="L559" s="18">
        <v>40.101497</v>
      </c>
      <c r="M559" s="18">
        <v>2000</v>
      </c>
      <c r="N559" s="18" t="s">
        <v>562</v>
      </c>
    </row>
    <row r="560" ht="15" customHeight="1" spans="1:14" x14ac:dyDescent="0.25">
      <c r="A560" s="11" t="s">
        <v>1690</v>
      </c>
      <c r="B560" s="11">
        <v>3</v>
      </c>
      <c r="C560" s="12" t="s">
        <v>51</v>
      </c>
      <c r="D560" s="11" t="s">
        <v>234</v>
      </c>
      <c r="E560" s="12" t="s">
        <v>51</v>
      </c>
      <c r="F560" s="12" t="s">
        <v>1691</v>
      </c>
      <c r="G560" s="11" t="s">
        <v>149</v>
      </c>
      <c r="H560" s="18" t="str">
        <f>IFERROR(INDEX('المحافظات Governorates'!$E$2:$E$151,MATCH(D560,'المحافظات Governorates'!$A$2:$A$151,0)),"")</f>
        <v>Madinah Al-Munawwarah</v>
      </c>
      <c r="I560" s="18" t="str">
        <f>IFERROR(INDEX('المناطق Regions'!$C$2:$C$15,MATCH(B560,'المناطق Regions'!$A$2:$A$15,0)),"")</f>
        <v>Madinah Al-Munawwarah</v>
      </c>
      <c r="J560" s="18" t="str">
        <f>F560&amp;", "&amp;E560&amp;", Saudi Arabia"</f>
        <v>دثير, المدينة المنورة, Saudi Arabia</v>
      </c>
      <c r="K560" s="18">
        <v>24.899722</v>
      </c>
      <c r="L560" s="18">
        <v>40.104167</v>
      </c>
      <c r="M560" s="18">
        <v>2000</v>
      </c>
      <c r="N560" s="18" t="s">
        <v>562</v>
      </c>
    </row>
    <row r="561" ht="15" customHeight="1" spans="1:14" x14ac:dyDescent="0.25">
      <c r="A561" s="13" t="s">
        <v>1692</v>
      </c>
      <c r="B561" s="13">
        <v>3</v>
      </c>
      <c r="C561" s="14" t="s">
        <v>51</v>
      </c>
      <c r="D561" s="13" t="s">
        <v>235</v>
      </c>
      <c r="E561" s="14" t="s">
        <v>236</v>
      </c>
      <c r="F561" s="14" t="s">
        <v>1693</v>
      </c>
      <c r="G561" s="13" t="s">
        <v>113</v>
      </c>
      <c r="H561" s="18" t="str">
        <f>IFERROR(INDEX('المحافظات Governorates'!$E$2:$E$151,MATCH(D561,'المحافظات Governorates'!$A$2:$A$151,0)),"")</f>
        <v>Yanbu</v>
      </c>
      <c r="I561" s="18" t="str">
        <f>IFERROR(INDEX('المناطق Regions'!$C$2:$C$15,MATCH(B561,'المناطق Regions'!$A$2:$A$15,0)),"")</f>
        <v>Madinah Al-Munawwarah</v>
      </c>
      <c r="J561" s="18" t="str">
        <f>F561&amp;", "&amp;E561&amp;", Saudi Arabia"</f>
        <v>ينبع النخل, ينبع, Saudi Arabia</v>
      </c>
      <c r="K561" s="18">
        <v>24.328026</v>
      </c>
      <c r="L561" s="18">
        <v>38.428553</v>
      </c>
      <c r="M561" s="18">
        <v>2000</v>
      </c>
      <c r="N561" s="18" t="s">
        <v>562</v>
      </c>
    </row>
    <row r="562" ht="15" customHeight="1" spans="1:14" x14ac:dyDescent="0.25">
      <c r="A562" s="11" t="s">
        <v>1694</v>
      </c>
      <c r="B562" s="11">
        <v>3</v>
      </c>
      <c r="C562" s="12" t="s">
        <v>51</v>
      </c>
      <c r="D562" s="11" t="s">
        <v>235</v>
      </c>
      <c r="E562" s="12" t="s">
        <v>236</v>
      </c>
      <c r="F562" s="12" t="s">
        <v>1695</v>
      </c>
      <c r="G562" s="11" t="s">
        <v>113</v>
      </c>
      <c r="H562" s="18" t="str">
        <f>IFERROR(INDEX('المحافظات Governorates'!$E$2:$E$151,MATCH(D562,'المحافظات Governorates'!$A$2:$A$151,0)),"")</f>
        <v>Yanbu</v>
      </c>
      <c r="I562" s="18" t="str">
        <f>IFERROR(INDEX('المناطق Regions'!$C$2:$C$15,MATCH(B562,'المناطق Regions'!$A$2:$A$15,0)),"")</f>
        <v>Madinah Al-Munawwarah</v>
      </c>
      <c r="J562" s="18" t="str">
        <f>F562&amp;", "&amp;E562&amp;", Saudi Arabia"</f>
        <v>الجابريه, ينبع, Saudi Arabia</v>
      </c>
      <c r="K562" s="18">
        <v>24.32391</v>
      </c>
      <c r="L562" s="18">
        <v>38.423582</v>
      </c>
      <c r="M562" s="18">
        <v>2000</v>
      </c>
      <c r="N562" s="18" t="s">
        <v>562</v>
      </c>
    </row>
    <row r="563" ht="15" customHeight="1" spans="1:14" x14ac:dyDescent="0.25">
      <c r="A563" s="13" t="s">
        <v>1696</v>
      </c>
      <c r="B563" s="13">
        <v>3</v>
      </c>
      <c r="C563" s="14" t="s">
        <v>51</v>
      </c>
      <c r="D563" s="13" t="s">
        <v>235</v>
      </c>
      <c r="E563" s="14" t="s">
        <v>236</v>
      </c>
      <c r="F563" s="14" t="s">
        <v>1697</v>
      </c>
      <c r="G563" s="13" t="s">
        <v>113</v>
      </c>
      <c r="H563" s="18" t="str">
        <f>IFERROR(INDEX('المحافظات Governorates'!$E$2:$E$151,MATCH(D563,'المحافظات Governorates'!$A$2:$A$151,0)),"")</f>
        <v>Yanbu</v>
      </c>
      <c r="I563" s="18" t="str">
        <f>IFERROR(INDEX('المناطق Regions'!$C$2:$C$15,MATCH(B563,'المناطق Regions'!$A$2:$A$15,0)),"")</f>
        <v>Madinah Al-Munawwarah</v>
      </c>
      <c r="J563" s="18" t="str">
        <f>F563&amp;", "&amp;E563&amp;", Saudi Arabia"</f>
        <v>تلعة نزة, ينبع, Saudi Arabia</v>
      </c>
      <c r="K563" s="18">
        <v>24.400254</v>
      </c>
      <c r="L563" s="18">
        <v>38.202344</v>
      </c>
      <c r="M563" s="18">
        <v>102894</v>
      </c>
      <c r="N563" s="18" t="s">
        <v>1698</v>
      </c>
    </row>
    <row r="564" ht="15" customHeight="1" spans="1:14" x14ac:dyDescent="0.25">
      <c r="A564" s="11" t="s">
        <v>1699</v>
      </c>
      <c r="B564" s="11">
        <v>3</v>
      </c>
      <c r="C564" s="12" t="s">
        <v>51</v>
      </c>
      <c r="D564" s="11" t="s">
        <v>235</v>
      </c>
      <c r="E564" s="12" t="s">
        <v>236</v>
      </c>
      <c r="F564" s="12" t="s">
        <v>1700</v>
      </c>
      <c r="G564" s="11" t="s">
        <v>113</v>
      </c>
      <c r="H564" s="18" t="str">
        <f>IFERROR(INDEX('المحافظات Governorates'!$E$2:$E$151,MATCH(D564,'المحافظات Governorates'!$A$2:$A$151,0)),"")</f>
        <v>Yanbu</v>
      </c>
      <c r="I564" s="18" t="str">
        <f>IFERROR(INDEX('المناطق Regions'!$C$2:$C$15,MATCH(B564,'المناطق Regions'!$A$2:$A$15,0)),"")</f>
        <v>Madinah Al-Munawwarah</v>
      </c>
      <c r="J564" s="18" t="str">
        <f>F564&amp;", "&amp;E564&amp;", Saudi Arabia"</f>
        <v>رخو, ينبع, Saudi Arabia</v>
      </c>
      <c r="K564" s="18">
        <v>24.735824</v>
      </c>
      <c r="L564" s="18">
        <v>38.01459</v>
      </c>
      <c r="M564" s="18">
        <v>2000</v>
      </c>
      <c r="N564" s="18" t="s">
        <v>562</v>
      </c>
    </row>
    <row r="565" ht="15" customHeight="1" spans="1:14" x14ac:dyDescent="0.25">
      <c r="A565" s="13" t="s">
        <v>1701</v>
      </c>
      <c r="B565" s="13">
        <v>3</v>
      </c>
      <c r="C565" s="14" t="s">
        <v>51</v>
      </c>
      <c r="D565" s="13" t="s">
        <v>235</v>
      </c>
      <c r="E565" s="14" t="s">
        <v>236</v>
      </c>
      <c r="F565" s="14" t="s">
        <v>1702</v>
      </c>
      <c r="G565" s="13" t="s">
        <v>113</v>
      </c>
      <c r="H565" s="18" t="str">
        <f>IFERROR(INDEX('المحافظات Governorates'!$E$2:$E$151,MATCH(D565,'المحافظات Governorates'!$A$2:$A$151,0)),"")</f>
        <v>Yanbu</v>
      </c>
      <c r="I565" s="18" t="str">
        <f>IFERROR(INDEX('المناطق Regions'!$C$2:$C$15,MATCH(B565,'المناطق Regions'!$A$2:$A$15,0)),"")</f>
        <v>Madinah Al-Munawwarah</v>
      </c>
      <c r="J565" s="18" t="str">
        <f>F565&amp;", "&amp;E565&amp;", Saudi Arabia"</f>
        <v>نبط, ينبع, Saudi Arabia</v>
      </c>
      <c r="K565" s="18">
        <v>24.644759</v>
      </c>
      <c r="L565" s="18">
        <v>37.530923</v>
      </c>
      <c r="M565" s="18">
        <v>2000</v>
      </c>
      <c r="N565" s="18" t="s">
        <v>562</v>
      </c>
    </row>
    <row r="566" ht="15" customHeight="1" spans="1:14" x14ac:dyDescent="0.25">
      <c r="A566" s="11" t="s">
        <v>1703</v>
      </c>
      <c r="B566" s="11">
        <v>3</v>
      </c>
      <c r="C566" s="12" t="s">
        <v>51</v>
      </c>
      <c r="D566" s="11" t="s">
        <v>235</v>
      </c>
      <c r="E566" s="12" t="s">
        <v>236</v>
      </c>
      <c r="F566" s="12" t="s">
        <v>1704</v>
      </c>
      <c r="G566" s="11" t="s">
        <v>113</v>
      </c>
      <c r="H566" s="18" t="str">
        <f>IFERROR(INDEX('المحافظات Governorates'!$E$2:$E$151,MATCH(D566,'المحافظات Governorates'!$A$2:$A$151,0)),"")</f>
        <v>Yanbu</v>
      </c>
      <c r="I566" s="18" t="str">
        <f>IFERROR(INDEX('المناطق Regions'!$C$2:$C$15,MATCH(B566,'المناطق Regions'!$A$2:$A$15,0)),"")</f>
        <v>Madinah Al-Munawwarah</v>
      </c>
      <c r="J566" s="18" t="str">
        <f>F566&amp;", "&amp;E566&amp;", Saudi Arabia"</f>
        <v>خمال, ينبع, Saudi Arabia</v>
      </c>
      <c r="K566" s="18">
        <v>24.359542</v>
      </c>
      <c r="L566" s="18">
        <v>37.901948</v>
      </c>
      <c r="M566" s="18">
        <v>2000</v>
      </c>
      <c r="N566" s="18" t="s">
        <v>562</v>
      </c>
    </row>
    <row r="567" ht="15" customHeight="1" spans="1:14" x14ac:dyDescent="0.25">
      <c r="A567" s="13" t="s">
        <v>1705</v>
      </c>
      <c r="B567" s="13">
        <v>3</v>
      </c>
      <c r="C567" s="14" t="s">
        <v>51</v>
      </c>
      <c r="D567" s="13" t="s">
        <v>235</v>
      </c>
      <c r="E567" s="14" t="s">
        <v>236</v>
      </c>
      <c r="F567" s="14" t="s">
        <v>1706</v>
      </c>
      <c r="G567" s="13" t="s">
        <v>149</v>
      </c>
      <c r="H567" s="18" t="str">
        <f>IFERROR(INDEX('المحافظات Governorates'!$E$2:$E$151,MATCH(D567,'المحافظات Governorates'!$A$2:$A$151,0)),"")</f>
        <v>Yanbu</v>
      </c>
      <c r="I567" s="18" t="str">
        <f>IFERROR(INDEX('المناطق Regions'!$C$2:$C$15,MATCH(B567,'المناطق Regions'!$A$2:$A$15,0)),"")</f>
        <v>Madinah Al-Munawwarah</v>
      </c>
      <c r="J567" s="18" t="str">
        <f>F567&amp;", "&amp;E567&amp;", Saudi Arabia"</f>
        <v>السليم, ينبع, Saudi Arabia</v>
      </c>
      <c r="K567" s="18">
        <v>23.736164</v>
      </c>
      <c r="L567" s="18">
        <v>38.546887</v>
      </c>
      <c r="M567" s="18">
        <v>2000</v>
      </c>
      <c r="N567" s="18" t="s">
        <v>562</v>
      </c>
    </row>
    <row r="568" ht="15" customHeight="1" spans="1:14" x14ac:dyDescent="0.25">
      <c r="A568" s="11" t="s">
        <v>1707</v>
      </c>
      <c r="B568" s="11">
        <v>3</v>
      </c>
      <c r="C568" s="12" t="s">
        <v>51</v>
      </c>
      <c r="D568" s="11" t="s">
        <v>235</v>
      </c>
      <c r="E568" s="12" t="s">
        <v>236</v>
      </c>
      <c r="F568" s="12" t="s">
        <v>1708</v>
      </c>
      <c r="G568" s="11" t="s">
        <v>149</v>
      </c>
      <c r="H568" s="18" t="str">
        <f>IFERROR(INDEX('المحافظات Governorates'!$E$2:$E$151,MATCH(D568,'المحافظات Governorates'!$A$2:$A$151,0)),"")</f>
        <v>Yanbu</v>
      </c>
      <c r="I568" s="18" t="str">
        <f>IFERROR(INDEX('المناطق Regions'!$C$2:$C$15,MATCH(B568,'المناطق Regions'!$A$2:$A$15,0)),"")</f>
        <v>Madinah Al-Munawwarah</v>
      </c>
      <c r="J568" s="18" t="str">
        <f>F568&amp;", "&amp;E568&amp;", Saudi Arabia"</f>
        <v>الفقعلي, ينبع, Saudi Arabia</v>
      </c>
      <c r="K568" s="18">
        <v>24.660054</v>
      </c>
      <c r="L568" s="18">
        <v>38.411529</v>
      </c>
      <c r="M568" s="18">
        <v>2000</v>
      </c>
      <c r="N568" s="18" t="s">
        <v>562</v>
      </c>
    </row>
    <row r="569" ht="15" customHeight="1" spans="1:14" x14ac:dyDescent="0.25">
      <c r="A569" s="13" t="s">
        <v>1709</v>
      </c>
      <c r="B569" s="13">
        <v>3</v>
      </c>
      <c r="C569" s="14" t="s">
        <v>51</v>
      </c>
      <c r="D569" s="13" t="s">
        <v>235</v>
      </c>
      <c r="E569" s="14" t="s">
        <v>236</v>
      </c>
      <c r="F569" s="14" t="s">
        <v>1710</v>
      </c>
      <c r="G569" s="13" t="s">
        <v>149</v>
      </c>
      <c r="H569" s="18" t="str">
        <f>IFERROR(INDEX('المحافظات Governorates'!$E$2:$E$151,MATCH(D569,'المحافظات Governorates'!$A$2:$A$151,0)),"")</f>
        <v>Yanbu</v>
      </c>
      <c r="I569" s="18" t="str">
        <f>IFERROR(INDEX('المناطق Regions'!$C$2:$C$15,MATCH(B569,'المناطق Regions'!$A$2:$A$15,0)),"")</f>
        <v>Madinah Al-Munawwarah</v>
      </c>
      <c r="J569" s="18" t="str">
        <f>F569&amp;", "&amp;E569&amp;", Saudi Arabia"</f>
        <v>النبات, ينبع, Saudi Arabia</v>
      </c>
      <c r="K569" s="18">
        <v>24.400254</v>
      </c>
      <c r="L569" s="18">
        <v>38.202344</v>
      </c>
      <c r="M569" s="18">
        <v>102894</v>
      </c>
      <c r="N569" s="18" t="s">
        <v>1698</v>
      </c>
    </row>
    <row r="570" ht="15" customHeight="1" spans="1:14" x14ac:dyDescent="0.25">
      <c r="A570" s="11" t="s">
        <v>1711</v>
      </c>
      <c r="B570" s="11">
        <v>3</v>
      </c>
      <c r="C570" s="12" t="s">
        <v>51</v>
      </c>
      <c r="D570" s="11" t="s">
        <v>235</v>
      </c>
      <c r="E570" s="12" t="s">
        <v>236</v>
      </c>
      <c r="F570" s="12" t="s">
        <v>1712</v>
      </c>
      <c r="G570" s="11" t="s">
        <v>149</v>
      </c>
      <c r="H570" s="18" t="str">
        <f>IFERROR(INDEX('المحافظات Governorates'!$E$2:$E$151,MATCH(D570,'المحافظات Governorates'!$A$2:$A$151,0)),"")</f>
        <v>Yanbu</v>
      </c>
      <c r="I570" s="18" t="str">
        <f>IFERROR(INDEX('المناطق Regions'!$C$2:$C$15,MATCH(B570,'المناطق Regions'!$A$2:$A$15,0)),"")</f>
        <v>Madinah Al-Munawwarah</v>
      </c>
      <c r="J570" s="18" t="str">
        <f>F570&amp;", "&amp;E570&amp;", Saudi Arabia"</f>
        <v>الهيم, ينبع, Saudi Arabia</v>
      </c>
      <c r="K570" s="18">
        <v>24.400254</v>
      </c>
      <c r="L570" s="18">
        <v>38.202344</v>
      </c>
      <c r="M570" s="18">
        <v>102894</v>
      </c>
      <c r="N570" s="18" t="s">
        <v>1698</v>
      </c>
    </row>
    <row r="571" ht="15" customHeight="1" spans="1:14" x14ac:dyDescent="0.25">
      <c r="A571" s="13" t="s">
        <v>1713</v>
      </c>
      <c r="B571" s="13">
        <v>3</v>
      </c>
      <c r="C571" s="14" t="s">
        <v>51</v>
      </c>
      <c r="D571" s="13" t="s">
        <v>235</v>
      </c>
      <c r="E571" s="14" t="s">
        <v>236</v>
      </c>
      <c r="F571" s="14" t="s">
        <v>1714</v>
      </c>
      <c r="G571" s="13" t="s">
        <v>149</v>
      </c>
      <c r="H571" s="18" t="str">
        <f>IFERROR(INDEX('المحافظات Governorates'!$E$2:$E$151,MATCH(D571,'المحافظات Governorates'!$A$2:$A$151,0)),"")</f>
        <v>Yanbu</v>
      </c>
      <c r="I571" s="18" t="str">
        <f>IFERROR(INDEX('المناطق Regions'!$C$2:$C$15,MATCH(B571,'المناطق Regions'!$A$2:$A$15,0)),"")</f>
        <v>Madinah Al-Munawwarah</v>
      </c>
      <c r="J571" s="18" t="str">
        <f>F571&amp;", "&amp;E571&amp;", Saudi Arabia"</f>
        <v>الشرجة, ينبع, Saudi Arabia</v>
      </c>
      <c r="K571" s="18">
        <v>24.430569</v>
      </c>
      <c r="L571" s="18">
        <v>38.792832</v>
      </c>
      <c r="M571" s="18">
        <v>2000</v>
      </c>
      <c r="N571" s="18" t="s">
        <v>562</v>
      </c>
    </row>
    <row r="572" ht="15" customHeight="1" spans="1:14" x14ac:dyDescent="0.25">
      <c r="A572" s="11" t="s">
        <v>1715</v>
      </c>
      <c r="B572" s="11">
        <v>3</v>
      </c>
      <c r="C572" s="12" t="s">
        <v>51</v>
      </c>
      <c r="D572" s="11" t="s">
        <v>238</v>
      </c>
      <c r="E572" s="12" t="s">
        <v>239</v>
      </c>
      <c r="F572" s="12" t="s">
        <v>713</v>
      </c>
      <c r="G572" s="11" t="s">
        <v>113</v>
      </c>
      <c r="H572" s="18" t="str">
        <f>IFERROR(INDEX('المحافظات Governorates'!$E$2:$E$151,MATCH(D572,'المحافظات Governorates'!$A$2:$A$151,0)),"")</f>
        <v>AlUla</v>
      </c>
      <c r="I572" s="18" t="str">
        <f>IFERROR(INDEX('المناطق Regions'!$C$2:$C$15,MATCH(B572,'المناطق Regions'!$A$2:$A$15,0)),"")</f>
        <v>Madinah Al-Munawwarah</v>
      </c>
      <c r="J572" s="18" t="str">
        <f>F572&amp;", "&amp;E572&amp;", Saudi Arabia"</f>
        <v>مغيراء, العلا, Saudi Arabia</v>
      </c>
      <c r="K572" s="18">
        <v>26.467332</v>
      </c>
      <c r="L572" s="18">
        <v>38.075384</v>
      </c>
      <c r="M572" s="18">
        <v>2000</v>
      </c>
      <c r="N572" s="18" t="s">
        <v>642</v>
      </c>
    </row>
    <row r="573" ht="15" customHeight="1" spans="1:14" x14ac:dyDescent="0.25">
      <c r="A573" s="13" t="s">
        <v>1716</v>
      </c>
      <c r="B573" s="13">
        <v>3</v>
      </c>
      <c r="C573" s="14" t="s">
        <v>51</v>
      </c>
      <c r="D573" s="13" t="s">
        <v>238</v>
      </c>
      <c r="E573" s="14" t="s">
        <v>239</v>
      </c>
      <c r="F573" s="14" t="s">
        <v>1717</v>
      </c>
      <c r="G573" s="13" t="s">
        <v>113</v>
      </c>
      <c r="H573" s="18" t="str">
        <f>IFERROR(INDEX('المحافظات Governorates'!$E$2:$E$151,MATCH(D573,'المحافظات Governorates'!$A$2:$A$151,0)),"")</f>
        <v>AlUla</v>
      </c>
      <c r="I573" s="18" t="str">
        <f>IFERROR(INDEX('المناطق Regions'!$C$2:$C$15,MATCH(B573,'المناطق Regions'!$A$2:$A$15,0)),"")</f>
        <v>Madinah Al-Munawwarah</v>
      </c>
      <c r="J573" s="18" t="str">
        <f>F573&amp;", "&amp;E573&amp;", Saudi Arabia"</f>
        <v>الحجر, العلا, Saudi Arabia</v>
      </c>
      <c r="K573" s="18">
        <v>26.841302</v>
      </c>
      <c r="L573" s="18">
        <v>37.951125</v>
      </c>
      <c r="M573" s="18">
        <v>2000</v>
      </c>
      <c r="N573" s="18" t="s">
        <v>642</v>
      </c>
    </row>
    <row r="574" ht="15" customHeight="1" spans="1:14" x14ac:dyDescent="0.25">
      <c r="A574" s="11" t="s">
        <v>1718</v>
      </c>
      <c r="B574" s="11">
        <v>3</v>
      </c>
      <c r="C574" s="12" t="s">
        <v>51</v>
      </c>
      <c r="D574" s="11" t="s">
        <v>238</v>
      </c>
      <c r="E574" s="12" t="s">
        <v>239</v>
      </c>
      <c r="F574" s="12" t="s">
        <v>1719</v>
      </c>
      <c r="G574" s="11" t="s">
        <v>149</v>
      </c>
      <c r="H574" s="18" t="str">
        <f>IFERROR(INDEX('المحافظات Governorates'!$E$2:$E$151,MATCH(D574,'المحافظات Governorates'!$A$2:$A$151,0)),"")</f>
        <v>AlUla</v>
      </c>
      <c r="I574" s="18" t="str">
        <f>IFERROR(INDEX('المناطق Regions'!$C$2:$C$15,MATCH(B574,'المناطق Regions'!$A$2:$A$15,0)),"")</f>
        <v>Madinah Al-Munawwarah</v>
      </c>
      <c r="J574" s="18" t="str">
        <f>F574&amp;", "&amp;E574&amp;", Saudi Arabia"</f>
        <v>العذيب, العلا, Saudi Arabia</v>
      </c>
      <c r="K574" s="18">
        <v>26.706517</v>
      </c>
      <c r="L574" s="18">
        <v>37.91315</v>
      </c>
      <c r="M574" s="18">
        <v>2000</v>
      </c>
      <c r="N574" s="18" t="s">
        <v>642</v>
      </c>
    </row>
    <row r="575" ht="15" customHeight="1" spans="1:14" x14ac:dyDescent="0.25">
      <c r="A575" s="13" t="s">
        <v>1720</v>
      </c>
      <c r="B575" s="13">
        <v>3</v>
      </c>
      <c r="C575" s="14" t="s">
        <v>51</v>
      </c>
      <c r="D575" s="13" t="s">
        <v>238</v>
      </c>
      <c r="E575" s="14" t="s">
        <v>239</v>
      </c>
      <c r="F575" s="14" t="s">
        <v>1721</v>
      </c>
      <c r="G575" s="13" t="s">
        <v>149</v>
      </c>
      <c r="H575" s="18" t="str">
        <f>IFERROR(INDEX('المحافظات Governorates'!$E$2:$E$151,MATCH(D575,'المحافظات Governorates'!$A$2:$A$151,0)),"")</f>
        <v>AlUla</v>
      </c>
      <c r="I575" s="18" t="str">
        <f>IFERROR(INDEX('المناطق Regions'!$C$2:$C$15,MATCH(B575,'المناطق Regions'!$A$2:$A$15,0)),"")</f>
        <v>Madinah Al-Munawwarah</v>
      </c>
      <c r="J575" s="18" t="str">
        <f>F575&amp;", "&amp;E575&amp;", Saudi Arabia"</f>
        <v>شلال, العلا, Saudi Arabia</v>
      </c>
      <c r="K575" s="18">
        <v>26.816274</v>
      </c>
      <c r="L575" s="18">
        <v>37.876887</v>
      </c>
      <c r="M575" s="18">
        <v>2000</v>
      </c>
      <c r="N575" s="18" t="s">
        <v>642</v>
      </c>
    </row>
    <row r="576" ht="15" customHeight="1" spans="1:14" x14ac:dyDescent="0.25">
      <c r="A576" s="11" t="s">
        <v>1722</v>
      </c>
      <c r="B576" s="11">
        <v>3</v>
      </c>
      <c r="C576" s="12" t="s">
        <v>51</v>
      </c>
      <c r="D576" s="11" t="s">
        <v>238</v>
      </c>
      <c r="E576" s="12" t="s">
        <v>239</v>
      </c>
      <c r="F576" s="12" t="s">
        <v>1723</v>
      </c>
      <c r="G576" s="11" t="s">
        <v>149</v>
      </c>
      <c r="H576" s="18" t="str">
        <f>IFERROR(INDEX('المحافظات Governorates'!$E$2:$E$151,MATCH(D576,'المحافظات Governorates'!$A$2:$A$151,0)),"")</f>
        <v>AlUla</v>
      </c>
      <c r="I576" s="18" t="str">
        <f>IFERROR(INDEX('المناطق Regions'!$C$2:$C$15,MATCH(B576,'المناطق Regions'!$A$2:$A$15,0)),"")</f>
        <v>Madinah Al-Munawwarah</v>
      </c>
      <c r="J576" s="18" t="str">
        <f>F576&amp;", "&amp;E576&amp;", Saudi Arabia"</f>
        <v>البريكه, العلا, Saudi Arabia</v>
      </c>
      <c r="K576" s="18">
        <v>26.509634</v>
      </c>
      <c r="L576" s="18">
        <v>37.9961</v>
      </c>
      <c r="M576" s="18">
        <v>134052</v>
      </c>
      <c r="N576" s="18" t="s">
        <v>1724</v>
      </c>
    </row>
    <row r="577" ht="15" customHeight="1" spans="1:14" x14ac:dyDescent="0.25">
      <c r="A577" s="13" t="s">
        <v>1725</v>
      </c>
      <c r="B577" s="13">
        <v>3</v>
      </c>
      <c r="C577" s="14" t="s">
        <v>51</v>
      </c>
      <c r="D577" s="13" t="s">
        <v>238</v>
      </c>
      <c r="E577" s="14" t="s">
        <v>239</v>
      </c>
      <c r="F577" s="14" t="s">
        <v>1726</v>
      </c>
      <c r="G577" s="13" t="s">
        <v>113</v>
      </c>
      <c r="H577" s="18" t="str">
        <f>IFERROR(INDEX('المحافظات Governorates'!$E$2:$E$151,MATCH(D577,'المحافظات Governorates'!$A$2:$A$151,0)),"")</f>
        <v>AlUla</v>
      </c>
      <c r="I577" s="18" t="str">
        <f>IFERROR(INDEX('المناطق Regions'!$C$2:$C$15,MATCH(B577,'المناطق Regions'!$A$2:$A$15,0)),"")</f>
        <v>Madinah Al-Munawwarah</v>
      </c>
      <c r="J577" s="18" t="str">
        <f>F577&amp;", "&amp;E577&amp;", Saudi Arabia"</f>
        <v>النجيل, العلا, Saudi Arabia</v>
      </c>
      <c r="K577" s="18">
        <v>26.509634</v>
      </c>
      <c r="L577" s="18">
        <v>37.9961</v>
      </c>
      <c r="M577" s="18">
        <v>134052</v>
      </c>
      <c r="N577" s="18" t="s">
        <v>1724</v>
      </c>
    </row>
    <row r="578" ht="15" customHeight="1" spans="1:14" x14ac:dyDescent="0.25">
      <c r="A578" s="11" t="s">
        <v>1727</v>
      </c>
      <c r="B578" s="11">
        <v>3</v>
      </c>
      <c r="C578" s="12" t="s">
        <v>51</v>
      </c>
      <c r="D578" s="11" t="s">
        <v>238</v>
      </c>
      <c r="E578" s="12" t="s">
        <v>239</v>
      </c>
      <c r="F578" s="12" t="s">
        <v>1728</v>
      </c>
      <c r="G578" s="11" t="s">
        <v>149</v>
      </c>
      <c r="H578" s="18" t="str">
        <f>IFERROR(INDEX('المحافظات Governorates'!$E$2:$E$151,MATCH(D578,'المحافظات Governorates'!$A$2:$A$151,0)),"")</f>
        <v>AlUla</v>
      </c>
      <c r="I578" s="18" t="str">
        <f>IFERROR(INDEX('المناطق Regions'!$C$2:$C$15,MATCH(B578,'المناطق Regions'!$A$2:$A$15,0)),"")</f>
        <v>Madinah Al-Munawwarah</v>
      </c>
      <c r="J578" s="18" t="str">
        <f>F578&amp;", "&amp;E578&amp;", Saudi Arabia"</f>
        <v>الورد, العلا, Saudi Arabia</v>
      </c>
      <c r="K578" s="18">
        <v>26.434034</v>
      </c>
      <c r="L578" s="18">
        <v>37.223354</v>
      </c>
      <c r="M578" s="18">
        <v>2000</v>
      </c>
      <c r="N578" s="18" t="s">
        <v>642</v>
      </c>
    </row>
    <row r="579" ht="15" customHeight="1" spans="1:14" x14ac:dyDescent="0.25">
      <c r="A579" s="13" t="s">
        <v>1729</v>
      </c>
      <c r="B579" s="13">
        <v>3</v>
      </c>
      <c r="C579" s="14" t="s">
        <v>51</v>
      </c>
      <c r="D579" s="13" t="s">
        <v>238</v>
      </c>
      <c r="E579" s="14" t="s">
        <v>239</v>
      </c>
      <c r="F579" s="14" t="s">
        <v>1730</v>
      </c>
      <c r="G579" s="13" t="s">
        <v>113</v>
      </c>
      <c r="H579" s="18" t="str">
        <f>IFERROR(INDEX('المحافظات Governorates'!$E$2:$E$151,MATCH(D579,'المحافظات Governorates'!$A$2:$A$151,0)),"")</f>
        <v>AlUla</v>
      </c>
      <c r="I579" s="18" t="str">
        <f>IFERROR(INDEX('المناطق Regions'!$C$2:$C$15,MATCH(B579,'المناطق Regions'!$A$2:$A$15,0)),"")</f>
        <v>Madinah Al-Munawwarah</v>
      </c>
      <c r="J579" s="18" t="str">
        <f>F579&amp;", "&amp;E579&amp;", Saudi Arabia"</f>
        <v>فضلا, العلا, Saudi Arabia</v>
      </c>
      <c r="K579" s="18">
        <v>26.377564</v>
      </c>
      <c r="L579" s="18">
        <v>37.827887</v>
      </c>
      <c r="M579" s="18">
        <v>2000</v>
      </c>
      <c r="N579" s="18" t="s">
        <v>642</v>
      </c>
    </row>
    <row r="580" ht="15" customHeight="1" spans="1:14" x14ac:dyDescent="0.25">
      <c r="A580" s="11" t="s">
        <v>1731</v>
      </c>
      <c r="B580" s="11">
        <v>3</v>
      </c>
      <c r="C580" s="12" t="s">
        <v>51</v>
      </c>
      <c r="D580" s="11" t="s">
        <v>238</v>
      </c>
      <c r="E580" s="12" t="s">
        <v>239</v>
      </c>
      <c r="F580" s="12" t="s">
        <v>1732</v>
      </c>
      <c r="G580" s="11" t="s">
        <v>149</v>
      </c>
      <c r="H580" s="18" t="str">
        <f>IFERROR(INDEX('المحافظات Governorates'!$E$2:$E$151,MATCH(D580,'المحافظات Governorates'!$A$2:$A$151,0)),"")</f>
        <v>AlUla</v>
      </c>
      <c r="I580" s="18" t="str">
        <f>IFERROR(INDEX('المناطق Regions'!$C$2:$C$15,MATCH(B580,'المناطق Regions'!$A$2:$A$15,0)),"")</f>
        <v>Madinah Al-Munawwarah</v>
      </c>
      <c r="J580" s="18" t="str">
        <f>F580&amp;", "&amp;E580&amp;", Saudi Arabia"</f>
        <v>العين الجديده, العلا, Saudi Arabia</v>
      </c>
      <c r="K580" s="18">
        <v>25.886065</v>
      </c>
      <c r="L580" s="18">
        <v>38.217242</v>
      </c>
      <c r="M580" s="18">
        <v>2000</v>
      </c>
      <c r="N580" s="18" t="s">
        <v>562</v>
      </c>
    </row>
    <row r="581" ht="15" customHeight="1" spans="1:14" x14ac:dyDescent="0.25">
      <c r="A581" s="13" t="s">
        <v>1733</v>
      </c>
      <c r="B581" s="13">
        <v>3</v>
      </c>
      <c r="C581" s="14" t="s">
        <v>51</v>
      </c>
      <c r="D581" s="13" t="s">
        <v>238</v>
      </c>
      <c r="E581" s="14" t="s">
        <v>239</v>
      </c>
      <c r="F581" s="14" t="s">
        <v>1734</v>
      </c>
      <c r="G581" s="13" t="s">
        <v>149</v>
      </c>
      <c r="H581" s="18" t="str">
        <f>IFERROR(INDEX('المحافظات Governorates'!$E$2:$E$151,MATCH(D581,'المحافظات Governorates'!$A$2:$A$151,0)),"")</f>
        <v>AlUla</v>
      </c>
      <c r="I581" s="18" t="str">
        <f>IFERROR(INDEX('المناطق Regions'!$C$2:$C$15,MATCH(B581,'المناطق Regions'!$A$2:$A$15,0)),"")</f>
        <v>Madinah Al-Munawwarah</v>
      </c>
      <c r="J581" s="18" t="str">
        <f>F581&amp;", "&amp;E581&amp;", Saudi Arabia"</f>
        <v>الجديده, العلا, Saudi Arabia</v>
      </c>
      <c r="K581" s="18">
        <v>26.509634</v>
      </c>
      <c r="L581" s="18">
        <v>37.9961</v>
      </c>
      <c r="M581" s="18">
        <v>134052</v>
      </c>
      <c r="N581" s="18" t="s">
        <v>1724</v>
      </c>
    </row>
    <row r="582" ht="15" customHeight="1" spans="1:14" x14ac:dyDescent="0.25">
      <c r="A582" s="11" t="s">
        <v>1735</v>
      </c>
      <c r="B582" s="11">
        <v>3</v>
      </c>
      <c r="C582" s="12" t="s">
        <v>51</v>
      </c>
      <c r="D582" s="11" t="s">
        <v>238</v>
      </c>
      <c r="E582" s="12" t="s">
        <v>239</v>
      </c>
      <c r="F582" s="12" t="s">
        <v>1736</v>
      </c>
      <c r="G582" s="11" t="s">
        <v>149</v>
      </c>
      <c r="H582" s="18" t="str">
        <f>IFERROR(INDEX('المحافظات Governorates'!$E$2:$E$151,MATCH(D582,'المحافظات Governorates'!$A$2:$A$151,0)),"")</f>
        <v>AlUla</v>
      </c>
      <c r="I582" s="18" t="str">
        <f>IFERROR(INDEX('المناطق Regions'!$C$2:$C$15,MATCH(B582,'المناطق Regions'!$A$2:$A$15,0)),"")</f>
        <v>Madinah Al-Munawwarah</v>
      </c>
      <c r="J582" s="18" t="str">
        <f>F582&amp;", "&amp;E582&amp;", Saudi Arabia"</f>
        <v>بئر الأراك, العلا, Saudi Arabia</v>
      </c>
      <c r="K582" s="18">
        <v>26.029565</v>
      </c>
      <c r="L582" s="18">
        <v>37.688097</v>
      </c>
      <c r="M582" s="18">
        <v>2000</v>
      </c>
      <c r="N582" s="18" t="s">
        <v>642</v>
      </c>
    </row>
    <row r="583" ht="15" customHeight="1" spans="1:14" x14ac:dyDescent="0.25">
      <c r="A583" s="13" t="s">
        <v>1737</v>
      </c>
      <c r="B583" s="13">
        <v>3</v>
      </c>
      <c r="C583" s="14" t="s">
        <v>51</v>
      </c>
      <c r="D583" s="13" t="s">
        <v>238</v>
      </c>
      <c r="E583" s="14" t="s">
        <v>239</v>
      </c>
      <c r="F583" s="14" t="s">
        <v>1738</v>
      </c>
      <c r="G583" s="13" t="s">
        <v>149</v>
      </c>
      <c r="H583" s="18" t="str">
        <f>IFERROR(INDEX('المحافظات Governorates'!$E$2:$E$151,MATCH(D583,'المحافظات Governorates'!$A$2:$A$151,0)),"")</f>
        <v>AlUla</v>
      </c>
      <c r="I583" s="18" t="str">
        <f>IFERROR(INDEX('المناطق Regions'!$C$2:$C$15,MATCH(B583,'المناطق Regions'!$A$2:$A$15,0)),"")</f>
        <v>Madinah Al-Munawwarah</v>
      </c>
      <c r="J583" s="18" t="str">
        <f>F583&amp;", "&amp;E583&amp;", Saudi Arabia"</f>
        <v>وقير, العلا, Saudi Arabia</v>
      </c>
      <c r="K583" s="18">
        <v>26.201083</v>
      </c>
      <c r="L583" s="18">
        <v>37.972105</v>
      </c>
      <c r="M583" s="18">
        <v>2000</v>
      </c>
      <c r="N583" s="18" t="s">
        <v>642</v>
      </c>
    </row>
    <row r="584" ht="15" customHeight="1" spans="1:14" x14ac:dyDescent="0.25">
      <c r="A584" s="11" t="s">
        <v>1739</v>
      </c>
      <c r="B584" s="11">
        <v>3</v>
      </c>
      <c r="C584" s="12" t="s">
        <v>51</v>
      </c>
      <c r="D584" s="11" t="s">
        <v>241</v>
      </c>
      <c r="E584" s="12" t="s">
        <v>242</v>
      </c>
      <c r="F584" s="12" t="s">
        <v>1740</v>
      </c>
      <c r="G584" s="11" t="s">
        <v>113</v>
      </c>
      <c r="H584" s="18" t="str">
        <f>IFERROR(INDEX('المحافظات Governorates'!$E$2:$E$151,MATCH(D584,'المحافظات Governorates'!$A$2:$A$151,0)),"")</f>
        <v>Mahd Adh-Dhahab</v>
      </c>
      <c r="I584" s="18" t="str">
        <f>IFERROR(INDEX('المناطق Regions'!$C$2:$C$15,MATCH(B584,'المناطق Regions'!$A$2:$A$15,0)),"")</f>
        <v>Madinah Al-Munawwarah</v>
      </c>
      <c r="J584" s="18" t="str">
        <f>F584&amp;", "&amp;E584&amp;", Saudi Arabia"</f>
        <v>السويرقيه, المهد, Saudi Arabia</v>
      </c>
      <c r="K584" s="18">
        <v>23.548569</v>
      </c>
      <c r="L584" s="18">
        <v>40.97818</v>
      </c>
      <c r="M584" s="18">
        <v>40000</v>
      </c>
      <c r="N584" s="18" t="s">
        <v>1130</v>
      </c>
    </row>
    <row r="585" ht="15" customHeight="1" spans="1:14" x14ac:dyDescent="0.25">
      <c r="A585" s="13" t="s">
        <v>1741</v>
      </c>
      <c r="B585" s="13">
        <v>3</v>
      </c>
      <c r="C585" s="14" t="s">
        <v>51</v>
      </c>
      <c r="D585" s="13" t="s">
        <v>241</v>
      </c>
      <c r="E585" s="14" t="s">
        <v>242</v>
      </c>
      <c r="F585" s="14" t="s">
        <v>1742</v>
      </c>
      <c r="G585" s="13" t="s">
        <v>113</v>
      </c>
      <c r="H585" s="18" t="str">
        <f>IFERROR(INDEX('المحافظات Governorates'!$E$2:$E$151,MATCH(D585,'المحافظات Governorates'!$A$2:$A$151,0)),"")</f>
        <v>Mahd Adh-Dhahab</v>
      </c>
      <c r="I585" s="18" t="str">
        <f>IFERROR(INDEX('المناطق Regions'!$C$2:$C$15,MATCH(B585,'المناطق Regions'!$A$2:$A$15,0)),"")</f>
        <v>Madinah Al-Munawwarah</v>
      </c>
      <c r="J585" s="18" t="str">
        <f>F585&amp;", "&amp;E585&amp;", Saudi Arabia"</f>
        <v>ارن, المهد, Saudi Arabia</v>
      </c>
      <c r="K585" s="18">
        <v>22.842694</v>
      </c>
      <c r="L585" s="18">
        <v>40.444694</v>
      </c>
      <c r="M585" s="18">
        <v>2000</v>
      </c>
      <c r="N585" s="18" t="s">
        <v>642</v>
      </c>
    </row>
    <row r="586" ht="15" customHeight="1" spans="1:14" x14ac:dyDescent="0.25">
      <c r="A586" s="11" t="s">
        <v>1743</v>
      </c>
      <c r="B586" s="11">
        <v>3</v>
      </c>
      <c r="C586" s="12" t="s">
        <v>51</v>
      </c>
      <c r="D586" s="11" t="s">
        <v>241</v>
      </c>
      <c r="E586" s="12" t="s">
        <v>242</v>
      </c>
      <c r="F586" s="12" t="s">
        <v>1744</v>
      </c>
      <c r="G586" s="11" t="s">
        <v>113</v>
      </c>
      <c r="H586" s="18" t="str">
        <f>IFERROR(INDEX('المحافظات Governorates'!$E$2:$E$151,MATCH(D586,'المحافظات Governorates'!$A$2:$A$151,0)),"")</f>
        <v>Mahd Adh-Dhahab</v>
      </c>
      <c r="I586" s="18" t="str">
        <f>IFERROR(INDEX('المناطق Regions'!$C$2:$C$15,MATCH(B586,'المناطق Regions'!$A$2:$A$15,0)),"")</f>
        <v>Madinah Al-Munawwarah</v>
      </c>
      <c r="J586" s="18" t="str">
        <f>F586&amp;", "&amp;E586&amp;", Saudi Arabia"</f>
        <v>صفينه, المهد, Saudi Arabia</v>
      </c>
      <c r="K586" s="18">
        <v>23.548569</v>
      </c>
      <c r="L586" s="18">
        <v>40.97818</v>
      </c>
      <c r="M586" s="18">
        <v>40000</v>
      </c>
      <c r="N586" s="18" t="s">
        <v>1130</v>
      </c>
    </row>
    <row r="587" ht="15" customHeight="1" spans="1:14" x14ac:dyDescent="0.25">
      <c r="A587" s="13" t="s">
        <v>1745</v>
      </c>
      <c r="B587" s="13">
        <v>3</v>
      </c>
      <c r="C587" s="14" t="s">
        <v>51</v>
      </c>
      <c r="D587" s="13" t="s">
        <v>241</v>
      </c>
      <c r="E587" s="14" t="s">
        <v>242</v>
      </c>
      <c r="F587" s="14" t="s">
        <v>1746</v>
      </c>
      <c r="G587" s="13" t="s">
        <v>113</v>
      </c>
      <c r="H587" s="18" t="str">
        <f>IFERROR(INDEX('المحافظات Governorates'!$E$2:$E$151,MATCH(D587,'المحافظات Governorates'!$A$2:$A$151,0)),"")</f>
        <v>Mahd Adh-Dhahab</v>
      </c>
      <c r="I587" s="18" t="str">
        <f>IFERROR(INDEX('المناطق Regions'!$C$2:$C$15,MATCH(B587,'المناطق Regions'!$A$2:$A$15,0)),"")</f>
        <v>Madinah Al-Munawwarah</v>
      </c>
      <c r="J587" s="18" t="str">
        <f>F587&amp;", "&amp;E587&amp;", Saudi Arabia"</f>
        <v>ثرب, المهد, Saudi Arabia</v>
      </c>
      <c r="K587" s="18">
        <v>24.229586</v>
      </c>
      <c r="L587" s="18">
        <v>41.737265</v>
      </c>
      <c r="M587" s="18">
        <v>2000</v>
      </c>
      <c r="N587" s="18" t="s">
        <v>642</v>
      </c>
    </row>
    <row r="588" ht="15" customHeight="1" spans="1:14" x14ac:dyDescent="0.25">
      <c r="A588" s="11" t="s">
        <v>1747</v>
      </c>
      <c r="B588" s="11">
        <v>3</v>
      </c>
      <c r="C588" s="12" t="s">
        <v>51</v>
      </c>
      <c r="D588" s="11" t="s">
        <v>241</v>
      </c>
      <c r="E588" s="12" t="s">
        <v>242</v>
      </c>
      <c r="F588" s="12" t="s">
        <v>1548</v>
      </c>
      <c r="G588" s="11" t="s">
        <v>149</v>
      </c>
      <c r="H588" s="18" t="str">
        <f>IFERROR(INDEX('المحافظات Governorates'!$E$2:$E$151,MATCH(D588,'المحافظات Governorates'!$A$2:$A$151,0)),"")</f>
        <v>Mahd Adh-Dhahab</v>
      </c>
      <c r="I588" s="18" t="str">
        <f>IFERROR(INDEX('المناطق Regions'!$C$2:$C$15,MATCH(B588,'المناطق Regions'!$A$2:$A$15,0)),"")</f>
        <v>Madinah Al-Munawwarah</v>
      </c>
      <c r="J588" s="18" t="str">
        <f>F588&amp;", "&amp;E588&amp;", Saudi Arabia"</f>
        <v>الحرة, المهد, Saudi Arabia</v>
      </c>
      <c r="K588" s="18">
        <v>23.548569</v>
      </c>
      <c r="L588" s="18">
        <v>40.97818</v>
      </c>
      <c r="M588" s="18">
        <v>40000</v>
      </c>
      <c r="N588" s="18" t="s">
        <v>1130</v>
      </c>
    </row>
    <row r="589" ht="15" customHeight="1" spans="1:14" x14ac:dyDescent="0.25">
      <c r="A589" s="13" t="s">
        <v>1748</v>
      </c>
      <c r="B589" s="13">
        <v>3</v>
      </c>
      <c r="C589" s="14" t="s">
        <v>51</v>
      </c>
      <c r="D589" s="13" t="s">
        <v>241</v>
      </c>
      <c r="E589" s="14" t="s">
        <v>242</v>
      </c>
      <c r="F589" s="14" t="s">
        <v>1749</v>
      </c>
      <c r="G589" s="13" t="s">
        <v>113</v>
      </c>
      <c r="H589" s="18" t="str">
        <f>IFERROR(INDEX('المحافظات Governorates'!$E$2:$E$151,MATCH(D589,'المحافظات Governorates'!$A$2:$A$151,0)),"")</f>
        <v>Mahd Adh-Dhahab</v>
      </c>
      <c r="I589" s="18" t="str">
        <f>IFERROR(INDEX('المناطق Regions'!$C$2:$C$15,MATCH(B589,'المناطق Regions'!$A$2:$A$15,0)),"")</f>
        <v>Madinah Al-Munawwarah</v>
      </c>
      <c r="J589" s="18" t="str">
        <f>F589&amp;", "&amp;E589&amp;", Saudi Arabia"</f>
        <v>حاذه, المهد, Saudi Arabia</v>
      </c>
      <c r="K589" s="18">
        <v>23.548569</v>
      </c>
      <c r="L589" s="18">
        <v>40.97818</v>
      </c>
      <c r="M589" s="18">
        <v>40000</v>
      </c>
      <c r="N589" s="18" t="s">
        <v>1130</v>
      </c>
    </row>
    <row r="590" ht="15" customHeight="1" spans="1:14" x14ac:dyDescent="0.25">
      <c r="A590" s="11" t="s">
        <v>1750</v>
      </c>
      <c r="B590" s="11">
        <v>3</v>
      </c>
      <c r="C590" s="12" t="s">
        <v>51</v>
      </c>
      <c r="D590" s="11" t="s">
        <v>241</v>
      </c>
      <c r="E590" s="12" t="s">
        <v>242</v>
      </c>
      <c r="F590" s="12" t="s">
        <v>1390</v>
      </c>
      <c r="G590" s="11" t="s">
        <v>113</v>
      </c>
      <c r="H590" s="18" t="str">
        <f>IFERROR(INDEX('المحافظات Governorates'!$E$2:$E$151,MATCH(D590,'المحافظات Governorates'!$A$2:$A$151,0)),"")</f>
        <v>Mahd Adh-Dhahab</v>
      </c>
      <c r="I590" s="18" t="str">
        <f>IFERROR(INDEX('المناطق Regions'!$C$2:$C$15,MATCH(B590,'المناطق Regions'!$A$2:$A$15,0)),"")</f>
        <v>Madinah Al-Munawwarah</v>
      </c>
      <c r="J590" s="18" t="str">
        <f>F590&amp;", "&amp;E590&amp;", Saudi Arabia"</f>
        <v>العمق, المهد, Saudi Arabia</v>
      </c>
      <c r="K590" s="18">
        <v>23.953401</v>
      </c>
      <c r="L590" s="18">
        <v>40.982882</v>
      </c>
      <c r="M590" s="18">
        <v>2000</v>
      </c>
      <c r="N590" s="18" t="s">
        <v>642</v>
      </c>
    </row>
    <row r="591" ht="15" customHeight="1" spans="1:14" x14ac:dyDescent="0.25">
      <c r="A591" s="13" t="s">
        <v>1751</v>
      </c>
      <c r="B591" s="13">
        <v>3</v>
      </c>
      <c r="C591" s="14" t="s">
        <v>51</v>
      </c>
      <c r="D591" s="13" t="s">
        <v>241</v>
      </c>
      <c r="E591" s="14" t="s">
        <v>242</v>
      </c>
      <c r="F591" s="14" t="s">
        <v>1752</v>
      </c>
      <c r="G591" s="13" t="s">
        <v>149</v>
      </c>
      <c r="H591" s="18" t="str">
        <f>IFERROR(INDEX('المحافظات Governorates'!$E$2:$E$151,MATCH(D591,'المحافظات Governorates'!$A$2:$A$151,0)),"")</f>
        <v>Mahd Adh-Dhahab</v>
      </c>
      <c r="I591" s="18" t="str">
        <f>IFERROR(INDEX('المناطق Regions'!$C$2:$C$15,MATCH(B591,'المناطق Regions'!$A$2:$A$15,0)),"")</f>
        <v>Madinah Al-Munawwarah</v>
      </c>
      <c r="J591" s="18" t="str">
        <f>F591&amp;", "&amp;E591&amp;", Saudi Arabia"</f>
        <v>الاصيحر, المهد, Saudi Arabia</v>
      </c>
      <c r="K591" s="18">
        <v>22.602352</v>
      </c>
      <c r="L591" s="18">
        <v>40.413151</v>
      </c>
      <c r="M591" s="18">
        <v>2000</v>
      </c>
      <c r="N591" s="18" t="s">
        <v>642</v>
      </c>
    </row>
    <row r="592" ht="15" customHeight="1" spans="1:14" x14ac:dyDescent="0.25">
      <c r="A592" s="11" t="s">
        <v>1753</v>
      </c>
      <c r="B592" s="11">
        <v>3</v>
      </c>
      <c r="C592" s="12" t="s">
        <v>51</v>
      </c>
      <c r="D592" s="11" t="s">
        <v>241</v>
      </c>
      <c r="E592" s="12" t="s">
        <v>242</v>
      </c>
      <c r="F592" s="12" t="s">
        <v>1754</v>
      </c>
      <c r="G592" s="11" t="s">
        <v>113</v>
      </c>
      <c r="H592" s="18" t="str">
        <f>IFERROR(INDEX('المحافظات Governorates'!$E$2:$E$151,MATCH(D592,'المحافظات Governorates'!$A$2:$A$151,0)),"")</f>
        <v>Mahd Adh-Dhahab</v>
      </c>
      <c r="I592" s="18" t="str">
        <f>IFERROR(INDEX('المناطق Regions'!$C$2:$C$15,MATCH(B592,'المناطق Regions'!$A$2:$A$15,0)),"")</f>
        <v>Madinah Al-Munawwarah</v>
      </c>
      <c r="J592" s="18" t="str">
        <f>F592&amp;", "&amp;E592&amp;", Saudi Arabia"</f>
        <v>المويهيه, المهد, Saudi Arabia</v>
      </c>
      <c r="K592" s="18">
        <v>23.548569</v>
      </c>
      <c r="L592" s="18">
        <v>40.97818</v>
      </c>
      <c r="M592" s="18">
        <v>40000</v>
      </c>
      <c r="N592" s="18" t="s">
        <v>1130</v>
      </c>
    </row>
    <row r="593" ht="15" customHeight="1" spans="1:14" x14ac:dyDescent="0.25">
      <c r="A593" s="13" t="s">
        <v>1755</v>
      </c>
      <c r="B593" s="13">
        <v>3</v>
      </c>
      <c r="C593" s="14" t="s">
        <v>51</v>
      </c>
      <c r="D593" s="13" t="s">
        <v>241</v>
      </c>
      <c r="E593" s="14" t="s">
        <v>242</v>
      </c>
      <c r="F593" s="14" t="s">
        <v>1756</v>
      </c>
      <c r="G593" s="13" t="s">
        <v>149</v>
      </c>
      <c r="H593" s="18" t="str">
        <f>IFERROR(INDEX('المحافظات Governorates'!$E$2:$E$151,MATCH(D593,'المحافظات Governorates'!$A$2:$A$151,0)),"")</f>
        <v>Mahd Adh-Dhahab</v>
      </c>
      <c r="I593" s="18" t="str">
        <f>IFERROR(INDEX('المناطق Regions'!$C$2:$C$15,MATCH(B593,'المناطق Regions'!$A$2:$A$15,0)),"")</f>
        <v>Madinah Al-Munawwarah</v>
      </c>
      <c r="J593" s="18" t="str">
        <f>F593&amp;", "&amp;E593&amp;", Saudi Arabia"</f>
        <v>الصعبيه, المهد, Saudi Arabia</v>
      </c>
      <c r="K593" s="18">
        <v>23.548569</v>
      </c>
      <c r="L593" s="18">
        <v>40.97818</v>
      </c>
      <c r="M593" s="18">
        <v>40000</v>
      </c>
      <c r="N593" s="18" t="s">
        <v>1130</v>
      </c>
    </row>
    <row r="594" ht="15" customHeight="1" spans="1:14" x14ac:dyDescent="0.25">
      <c r="A594" s="11" t="s">
        <v>1757</v>
      </c>
      <c r="B594" s="11">
        <v>3</v>
      </c>
      <c r="C594" s="12" t="s">
        <v>51</v>
      </c>
      <c r="D594" s="11" t="s">
        <v>241</v>
      </c>
      <c r="E594" s="12" t="s">
        <v>242</v>
      </c>
      <c r="F594" s="12" t="s">
        <v>1758</v>
      </c>
      <c r="G594" s="11" t="s">
        <v>149</v>
      </c>
      <c r="H594" s="18" t="str">
        <f>IFERROR(INDEX('المحافظات Governorates'!$E$2:$E$151,MATCH(D594,'المحافظات Governorates'!$A$2:$A$151,0)),"")</f>
        <v>Mahd Adh-Dhahab</v>
      </c>
      <c r="I594" s="18" t="str">
        <f>IFERROR(INDEX('المناطق Regions'!$C$2:$C$15,MATCH(B594,'المناطق Regions'!$A$2:$A$15,0)),"")</f>
        <v>Madinah Al-Munawwarah</v>
      </c>
      <c r="J594" s="18" t="str">
        <f>F594&amp;", "&amp;E594&amp;", Saudi Arabia"</f>
        <v>هباء, المهد, Saudi Arabia</v>
      </c>
      <c r="K594" s="18">
        <v>23.548569</v>
      </c>
      <c r="L594" s="18">
        <v>40.97818</v>
      </c>
      <c r="M594" s="18">
        <v>40000</v>
      </c>
      <c r="N594" s="18" t="s">
        <v>1130</v>
      </c>
    </row>
    <row r="595" ht="15" customHeight="1" spans="1:14" x14ac:dyDescent="0.25">
      <c r="A595" s="13" t="s">
        <v>1759</v>
      </c>
      <c r="B595" s="13">
        <v>3</v>
      </c>
      <c r="C595" s="14" t="s">
        <v>51</v>
      </c>
      <c r="D595" s="13" t="s">
        <v>241</v>
      </c>
      <c r="E595" s="14" t="s">
        <v>242</v>
      </c>
      <c r="F595" s="14" t="s">
        <v>126</v>
      </c>
      <c r="G595" s="13" t="s">
        <v>149</v>
      </c>
      <c r="H595" s="18" t="str">
        <f>IFERROR(INDEX('المحافظات Governorates'!$E$2:$E$151,MATCH(D595,'المحافظات Governorates'!$A$2:$A$151,0)),"")</f>
        <v>Mahd Adh-Dhahab</v>
      </c>
      <c r="I595" s="18" t="str">
        <f>IFERROR(INDEX('المناطق Regions'!$C$2:$C$15,MATCH(B595,'المناطق Regions'!$A$2:$A$15,0)),"")</f>
        <v>Madinah Al-Munawwarah</v>
      </c>
      <c r="J595" s="18" t="str">
        <f>F595&amp;", "&amp;E595&amp;", Saudi Arabia"</f>
        <v>القويعيه, المهد, Saudi Arabia</v>
      </c>
      <c r="K595" s="18">
        <v>23.548569</v>
      </c>
      <c r="L595" s="18">
        <v>40.97818</v>
      </c>
      <c r="M595" s="18">
        <v>40000</v>
      </c>
      <c r="N595" s="18" t="s">
        <v>1130</v>
      </c>
    </row>
    <row r="596" ht="15" customHeight="1" spans="1:14" x14ac:dyDescent="0.25">
      <c r="A596" s="11" t="s">
        <v>1760</v>
      </c>
      <c r="B596" s="11">
        <v>3</v>
      </c>
      <c r="C596" s="12" t="s">
        <v>51</v>
      </c>
      <c r="D596" s="11" t="s">
        <v>241</v>
      </c>
      <c r="E596" s="12" t="s">
        <v>242</v>
      </c>
      <c r="F596" s="12" t="s">
        <v>1761</v>
      </c>
      <c r="G596" s="11" t="s">
        <v>149</v>
      </c>
      <c r="H596" s="18" t="str">
        <f>IFERROR(INDEX('المحافظات Governorates'!$E$2:$E$151,MATCH(D596,'المحافظات Governorates'!$A$2:$A$151,0)),"")</f>
        <v>Mahd Adh-Dhahab</v>
      </c>
      <c r="I596" s="18" t="str">
        <f>IFERROR(INDEX('المناطق Regions'!$C$2:$C$15,MATCH(B596,'المناطق Regions'!$A$2:$A$15,0)),"")</f>
        <v>Madinah Al-Munawwarah</v>
      </c>
      <c r="J596" s="18" t="str">
        <f>F596&amp;", "&amp;E596&amp;", Saudi Arabia"</f>
        <v>الهراره, المهد, Saudi Arabia</v>
      </c>
      <c r="K596" s="18">
        <v>23.548569</v>
      </c>
      <c r="L596" s="18">
        <v>40.97818</v>
      </c>
      <c r="M596" s="18">
        <v>40000</v>
      </c>
      <c r="N596" s="18" t="s">
        <v>1130</v>
      </c>
    </row>
    <row r="597" ht="15" customHeight="1" spans="1:14" x14ac:dyDescent="0.25">
      <c r="A597" s="13" t="s">
        <v>1762</v>
      </c>
      <c r="B597" s="13">
        <v>3</v>
      </c>
      <c r="C597" s="14" t="s">
        <v>51</v>
      </c>
      <c r="D597" s="13" t="s">
        <v>241</v>
      </c>
      <c r="E597" s="14" t="s">
        <v>242</v>
      </c>
      <c r="F597" s="14" t="s">
        <v>1763</v>
      </c>
      <c r="G597" s="13" t="s">
        <v>149</v>
      </c>
      <c r="H597" s="18" t="str">
        <f>IFERROR(INDEX('المحافظات Governorates'!$E$2:$E$151,MATCH(D597,'المحافظات Governorates'!$A$2:$A$151,0)),"")</f>
        <v>Mahd Adh-Dhahab</v>
      </c>
      <c r="I597" s="18" t="str">
        <f>IFERROR(INDEX('المناطق Regions'!$C$2:$C$15,MATCH(B597,'المناطق Regions'!$A$2:$A$15,0)),"")</f>
        <v>Madinah Al-Munawwarah</v>
      </c>
      <c r="J597" s="18" t="str">
        <f>F597&amp;", "&amp;E597&amp;", Saudi Arabia"</f>
        <v>السريحية, المهد, Saudi Arabia</v>
      </c>
      <c r="K597" s="18">
        <v>23.548569</v>
      </c>
      <c r="L597" s="18">
        <v>40.97818</v>
      </c>
      <c r="M597" s="18">
        <v>40000</v>
      </c>
      <c r="N597" s="18" t="s">
        <v>1130</v>
      </c>
    </row>
    <row r="598" ht="15" customHeight="1" spans="1:14" x14ac:dyDescent="0.25">
      <c r="A598" s="11" t="s">
        <v>1764</v>
      </c>
      <c r="B598" s="11">
        <v>3</v>
      </c>
      <c r="C598" s="12" t="s">
        <v>51</v>
      </c>
      <c r="D598" s="11" t="s">
        <v>241</v>
      </c>
      <c r="E598" s="12" t="s">
        <v>242</v>
      </c>
      <c r="F598" s="12" t="s">
        <v>1765</v>
      </c>
      <c r="G598" s="11" t="s">
        <v>149</v>
      </c>
      <c r="H598" s="18" t="str">
        <f>IFERROR(INDEX('المحافظات Governorates'!$E$2:$E$151,MATCH(D598,'المحافظات Governorates'!$A$2:$A$151,0)),"")</f>
        <v>Mahd Adh-Dhahab</v>
      </c>
      <c r="I598" s="18" t="str">
        <f>IFERROR(INDEX('المناطق Regions'!$C$2:$C$15,MATCH(B598,'المناطق Regions'!$A$2:$A$15,0)),"")</f>
        <v>Madinah Al-Munawwarah</v>
      </c>
      <c r="J598" s="18" t="str">
        <f>F598&amp;", "&amp;E598&amp;", Saudi Arabia"</f>
        <v>الرويضة, المهد, Saudi Arabia</v>
      </c>
      <c r="K598" s="18">
        <v>23.548569</v>
      </c>
      <c r="L598" s="18">
        <v>40.97818</v>
      </c>
      <c r="M598" s="18">
        <v>40000</v>
      </c>
      <c r="N598" s="18" t="s">
        <v>1130</v>
      </c>
    </row>
    <row r="599" ht="15" customHeight="1" spans="1:14" x14ac:dyDescent="0.25">
      <c r="A599" s="13" t="s">
        <v>1766</v>
      </c>
      <c r="B599" s="13">
        <v>3</v>
      </c>
      <c r="C599" s="14" t="s">
        <v>51</v>
      </c>
      <c r="D599" s="13" t="s">
        <v>241</v>
      </c>
      <c r="E599" s="14" t="s">
        <v>242</v>
      </c>
      <c r="F599" s="14" t="s">
        <v>1767</v>
      </c>
      <c r="G599" s="13" t="s">
        <v>149</v>
      </c>
      <c r="H599" s="18" t="str">
        <f>IFERROR(INDEX('المحافظات Governorates'!$E$2:$E$151,MATCH(D599,'المحافظات Governorates'!$A$2:$A$151,0)),"")</f>
        <v>Mahd Adh-Dhahab</v>
      </c>
      <c r="I599" s="18" t="str">
        <f>IFERROR(INDEX('المناطق Regions'!$C$2:$C$15,MATCH(B599,'المناطق Regions'!$A$2:$A$15,0)),"")</f>
        <v>Madinah Al-Munawwarah</v>
      </c>
      <c r="J599" s="18" t="str">
        <f>F599&amp;", "&amp;E599&amp;", Saudi Arabia"</f>
        <v>الركنة, المهد, Saudi Arabia</v>
      </c>
      <c r="K599" s="18">
        <v>23.934559</v>
      </c>
      <c r="L599" s="18">
        <v>40.626733</v>
      </c>
      <c r="M599" s="18">
        <v>2000</v>
      </c>
      <c r="N599" s="18" t="s">
        <v>642</v>
      </c>
    </row>
    <row r="600" ht="15" customHeight="1" spans="1:14" x14ac:dyDescent="0.25">
      <c r="A600" s="11" t="s">
        <v>1768</v>
      </c>
      <c r="B600" s="11">
        <v>3</v>
      </c>
      <c r="C600" s="12" t="s">
        <v>51</v>
      </c>
      <c r="D600" s="11" t="s">
        <v>241</v>
      </c>
      <c r="E600" s="12" t="s">
        <v>242</v>
      </c>
      <c r="F600" s="12" t="s">
        <v>1769</v>
      </c>
      <c r="G600" s="11" t="s">
        <v>149</v>
      </c>
      <c r="H600" s="18" t="str">
        <f>IFERROR(INDEX('المحافظات Governorates'!$E$2:$E$151,MATCH(D600,'المحافظات Governorates'!$A$2:$A$151,0)),"")</f>
        <v>Mahd Adh-Dhahab</v>
      </c>
      <c r="I600" s="18" t="str">
        <f>IFERROR(INDEX('المناطق Regions'!$C$2:$C$15,MATCH(B600,'المناطق Regions'!$A$2:$A$15,0)),"")</f>
        <v>Madinah Al-Munawwarah</v>
      </c>
      <c r="J600" s="18" t="str">
        <f>F600&amp;", "&amp;E600&amp;", Saudi Arabia"</f>
        <v>الجياسر, المهد, Saudi Arabia</v>
      </c>
      <c r="K600" s="18">
        <v>23.99245</v>
      </c>
      <c r="L600" s="18">
        <v>41.82191</v>
      </c>
      <c r="M600" s="18">
        <v>2000</v>
      </c>
      <c r="N600" s="18" t="s">
        <v>642</v>
      </c>
    </row>
    <row r="601" ht="15" customHeight="1" spans="1:14" x14ac:dyDescent="0.25">
      <c r="A601" s="13" t="s">
        <v>1770</v>
      </c>
      <c r="B601" s="13">
        <v>3</v>
      </c>
      <c r="C601" s="14" t="s">
        <v>51</v>
      </c>
      <c r="D601" s="13" t="s">
        <v>241</v>
      </c>
      <c r="E601" s="14" t="s">
        <v>242</v>
      </c>
      <c r="F601" s="14" t="s">
        <v>1771</v>
      </c>
      <c r="G601" s="13" t="s">
        <v>149</v>
      </c>
      <c r="H601" s="18" t="str">
        <f>IFERROR(INDEX('المحافظات Governorates'!$E$2:$E$151,MATCH(D601,'المحافظات Governorates'!$A$2:$A$151,0)),"")</f>
        <v>Mahd Adh-Dhahab</v>
      </c>
      <c r="I601" s="18" t="str">
        <f>IFERROR(INDEX('المناطق Regions'!$C$2:$C$15,MATCH(B601,'المناطق Regions'!$A$2:$A$15,0)),"")</f>
        <v>Madinah Al-Munawwarah</v>
      </c>
      <c r="J601" s="18" t="str">
        <f>F601&amp;", "&amp;E601&amp;", Saudi Arabia"</f>
        <v>رشيدة, المهد, Saudi Arabia</v>
      </c>
      <c r="K601" s="18">
        <v>23.711488</v>
      </c>
      <c r="L601" s="18">
        <v>41.623485</v>
      </c>
      <c r="M601" s="18">
        <v>2000</v>
      </c>
      <c r="N601" s="18" t="s">
        <v>642</v>
      </c>
    </row>
    <row r="602" ht="15" customHeight="1" spans="1:14" x14ac:dyDescent="0.25">
      <c r="A602" s="11" t="s">
        <v>1772</v>
      </c>
      <c r="B602" s="11">
        <v>3</v>
      </c>
      <c r="C602" s="12" t="s">
        <v>51</v>
      </c>
      <c r="D602" s="11" t="s">
        <v>244</v>
      </c>
      <c r="E602" s="12" t="s">
        <v>245</v>
      </c>
      <c r="F602" s="12" t="s">
        <v>1773</v>
      </c>
      <c r="G602" s="11" t="s">
        <v>113</v>
      </c>
      <c r="H602" s="18" t="str">
        <f>IFERROR(INDEX('المحافظات Governorates'!$E$2:$E$151,MATCH(D602,'المحافظات Governorates'!$A$2:$A$151,0)),"")</f>
        <v>Badr</v>
      </c>
      <c r="I602" s="18" t="str">
        <f>IFERROR(INDEX('المناطق Regions'!$C$2:$C$15,MATCH(B602,'المناطق Regions'!$A$2:$A$15,0)),"")</f>
        <v>Madinah Al-Munawwarah</v>
      </c>
      <c r="J602" s="18" t="str">
        <f>F602&amp;", "&amp;E602&amp;", Saudi Arabia"</f>
        <v>المسيجيد, بدر, Saudi Arabia</v>
      </c>
      <c r="K602" s="18">
        <v>24.085541</v>
      </c>
      <c r="L602" s="18">
        <v>39.095239</v>
      </c>
      <c r="M602" s="18">
        <v>2000</v>
      </c>
      <c r="N602" s="18" t="s">
        <v>562</v>
      </c>
    </row>
    <row r="603" ht="15" customHeight="1" spans="1:14" x14ac:dyDescent="0.25">
      <c r="A603" s="13" t="s">
        <v>1774</v>
      </c>
      <c r="B603" s="13">
        <v>3</v>
      </c>
      <c r="C603" s="14" t="s">
        <v>51</v>
      </c>
      <c r="D603" s="13" t="s">
        <v>244</v>
      </c>
      <c r="E603" s="14" t="s">
        <v>245</v>
      </c>
      <c r="F603" s="14" t="s">
        <v>1775</v>
      </c>
      <c r="G603" s="13" t="s">
        <v>113</v>
      </c>
      <c r="H603" s="18" t="str">
        <f>IFERROR(INDEX('المحافظات Governorates'!$E$2:$E$151,MATCH(D603,'المحافظات Governorates'!$A$2:$A$151,0)),"")</f>
        <v>Badr</v>
      </c>
      <c r="I603" s="18" t="str">
        <f>IFERROR(INDEX('المناطق Regions'!$C$2:$C$15,MATCH(B603,'المناطق Regions'!$A$2:$A$15,0)),"")</f>
        <v>Madinah Al-Munawwarah</v>
      </c>
      <c r="J603" s="18" t="str">
        <f>F603&amp;", "&amp;E603&amp;", Saudi Arabia"</f>
        <v>الواسطه, بدر, Saudi Arabia</v>
      </c>
      <c r="K603" s="18">
        <v>23.885</v>
      </c>
      <c r="L603" s="18">
        <v>38.9025</v>
      </c>
      <c r="M603" s="18">
        <v>2000</v>
      </c>
      <c r="N603" s="18" t="s">
        <v>562</v>
      </c>
    </row>
    <row r="604" ht="15" customHeight="1" spans="1:14" x14ac:dyDescent="0.25">
      <c r="A604" s="11" t="s">
        <v>1776</v>
      </c>
      <c r="B604" s="11">
        <v>3</v>
      </c>
      <c r="C604" s="12" t="s">
        <v>51</v>
      </c>
      <c r="D604" s="11" t="s">
        <v>244</v>
      </c>
      <c r="E604" s="12" t="s">
        <v>245</v>
      </c>
      <c r="F604" s="12" t="s">
        <v>1777</v>
      </c>
      <c r="G604" s="11" t="s">
        <v>113</v>
      </c>
      <c r="H604" s="18" t="str">
        <f>IFERROR(INDEX('المحافظات Governorates'!$E$2:$E$151,MATCH(D604,'المحافظات Governorates'!$A$2:$A$151,0)),"")</f>
        <v>Badr</v>
      </c>
      <c r="I604" s="18" t="str">
        <f>IFERROR(INDEX('المناطق Regions'!$C$2:$C$15,MATCH(B604,'المناطق Regions'!$A$2:$A$15,0)),"")</f>
        <v>Madinah Al-Munawwarah</v>
      </c>
      <c r="J604" s="18" t="str">
        <f>F604&amp;", "&amp;E604&amp;", Saudi Arabia"</f>
        <v>القاحه, بدر, Saudi Arabia</v>
      </c>
      <c r="K604" s="18">
        <v>23.850284</v>
      </c>
      <c r="L604" s="18">
        <v>38.928149</v>
      </c>
      <c r="M604" s="18">
        <v>91007</v>
      </c>
      <c r="N604" s="18" t="s">
        <v>1506</v>
      </c>
    </row>
    <row r="605" ht="15" customHeight="1" spans="1:14" x14ac:dyDescent="0.25">
      <c r="A605" s="13" t="s">
        <v>1778</v>
      </c>
      <c r="B605" s="13">
        <v>3</v>
      </c>
      <c r="C605" s="14" t="s">
        <v>51</v>
      </c>
      <c r="D605" s="13" t="s">
        <v>244</v>
      </c>
      <c r="E605" s="14" t="s">
        <v>245</v>
      </c>
      <c r="F605" s="14" t="s">
        <v>1779</v>
      </c>
      <c r="G605" s="13" t="s">
        <v>113</v>
      </c>
      <c r="H605" s="18" t="str">
        <f>IFERROR(INDEX('المحافظات Governorates'!$E$2:$E$151,MATCH(D605,'المحافظات Governorates'!$A$2:$A$151,0)),"")</f>
        <v>Badr</v>
      </c>
      <c r="I605" s="18" t="str">
        <f>IFERROR(INDEX('المناطق Regions'!$C$2:$C$15,MATCH(B605,'المناطق Regions'!$A$2:$A$15,0)),"")</f>
        <v>Madinah Al-Munawwarah</v>
      </c>
      <c r="J605" s="18" t="str">
        <f>F605&amp;", "&amp;E605&amp;", Saudi Arabia"</f>
        <v>الرايس, بدر, Saudi Arabia</v>
      </c>
      <c r="K605" s="18">
        <v>23.575057</v>
      </c>
      <c r="L605" s="18">
        <v>38.603364</v>
      </c>
      <c r="M605" s="18">
        <v>2000</v>
      </c>
      <c r="N605" s="18" t="s">
        <v>562</v>
      </c>
    </row>
    <row r="606" ht="15" customHeight="1" spans="1:14" x14ac:dyDescent="0.25">
      <c r="A606" s="11" t="s">
        <v>1780</v>
      </c>
      <c r="B606" s="11">
        <v>3</v>
      </c>
      <c r="C606" s="12" t="s">
        <v>51</v>
      </c>
      <c r="D606" s="11" t="s">
        <v>244</v>
      </c>
      <c r="E606" s="12" t="s">
        <v>245</v>
      </c>
      <c r="F606" s="12" t="s">
        <v>1781</v>
      </c>
      <c r="G606" s="11" t="s">
        <v>113</v>
      </c>
      <c r="H606" s="18" t="str">
        <f>IFERROR(INDEX('المحافظات Governorates'!$E$2:$E$151,MATCH(D606,'المحافظات Governorates'!$A$2:$A$151,0)),"")</f>
        <v>Badr</v>
      </c>
      <c r="I606" s="18" t="str">
        <f>IFERROR(INDEX('المناطق Regions'!$C$2:$C$15,MATCH(B606,'المناطق Regions'!$A$2:$A$15,0)),"")</f>
        <v>Madinah Al-Munawwarah</v>
      </c>
      <c r="J606" s="18" t="str">
        <f>F606&amp;", "&amp;E606&amp;", Saudi Arabia"</f>
        <v>بئر الروحاء, بدر, Saudi Arabia</v>
      </c>
      <c r="K606" s="18">
        <v>24.072963</v>
      </c>
      <c r="L606" s="18">
        <v>39.162626</v>
      </c>
      <c r="M606" s="18">
        <v>2000</v>
      </c>
      <c r="N606" s="18" t="s">
        <v>562</v>
      </c>
    </row>
    <row r="607" ht="15" customHeight="1" spans="1:14" x14ac:dyDescent="0.25">
      <c r="A607" s="13" t="s">
        <v>1782</v>
      </c>
      <c r="B607" s="13">
        <v>3</v>
      </c>
      <c r="C607" s="14" t="s">
        <v>51</v>
      </c>
      <c r="D607" s="13" t="s">
        <v>244</v>
      </c>
      <c r="E607" s="14" t="s">
        <v>245</v>
      </c>
      <c r="F607" s="14" t="s">
        <v>1783</v>
      </c>
      <c r="G607" s="13" t="s">
        <v>149</v>
      </c>
      <c r="H607" s="18" t="str">
        <f>IFERROR(INDEX('المحافظات Governorates'!$E$2:$E$151,MATCH(D607,'المحافظات Governorates'!$A$2:$A$151,0)),"")</f>
        <v>Badr</v>
      </c>
      <c r="I607" s="18" t="str">
        <f>IFERROR(INDEX('المناطق Regions'!$C$2:$C$15,MATCH(B607,'المناطق Regions'!$A$2:$A$15,0)),"")</f>
        <v>Madinah Al-Munawwarah</v>
      </c>
      <c r="J607" s="18" t="str">
        <f>F607&amp;", "&amp;E607&amp;", Saudi Arabia"</f>
        <v>الشفيه, بدر, Saudi Arabia</v>
      </c>
      <c r="K607" s="18">
        <v>23.824722</v>
      </c>
      <c r="L607" s="18">
        <v>39.1425</v>
      </c>
      <c r="M607" s="18">
        <v>2000</v>
      </c>
      <c r="N607" s="18" t="s">
        <v>562</v>
      </c>
    </row>
    <row r="608" ht="15" customHeight="1" spans="1:14" x14ac:dyDescent="0.25">
      <c r="A608" s="11" t="s">
        <v>1784</v>
      </c>
      <c r="B608" s="11">
        <v>3</v>
      </c>
      <c r="C608" s="12" t="s">
        <v>51</v>
      </c>
      <c r="D608" s="11" t="s">
        <v>244</v>
      </c>
      <c r="E608" s="12" t="s">
        <v>245</v>
      </c>
      <c r="F608" s="12" t="s">
        <v>1785</v>
      </c>
      <c r="G608" s="11" t="s">
        <v>149</v>
      </c>
      <c r="H608" s="18" t="str">
        <f>IFERROR(INDEX('المحافظات Governorates'!$E$2:$E$151,MATCH(D608,'المحافظات Governorates'!$A$2:$A$151,0)),"")</f>
        <v>Badr</v>
      </c>
      <c r="I608" s="18" t="str">
        <f>IFERROR(INDEX('المناطق Regions'!$C$2:$C$15,MATCH(B608,'المناطق Regions'!$A$2:$A$15,0)),"")</f>
        <v>Madinah Al-Munawwarah</v>
      </c>
      <c r="J608" s="18" t="str">
        <f>F608&amp;", "&amp;E608&amp;", Saudi Arabia"</f>
        <v>السديرة, بدر, Saudi Arabia</v>
      </c>
      <c r="K608" s="18">
        <v>24.365017</v>
      </c>
      <c r="L608" s="18">
        <v>38.866583</v>
      </c>
      <c r="M608" s="18">
        <v>2000</v>
      </c>
      <c r="N608" s="18" t="s">
        <v>562</v>
      </c>
    </row>
    <row r="609" ht="15" customHeight="1" spans="1:14" x14ac:dyDescent="0.25">
      <c r="A609" s="13" t="s">
        <v>1786</v>
      </c>
      <c r="B609" s="13">
        <v>3</v>
      </c>
      <c r="C609" s="14" t="s">
        <v>51</v>
      </c>
      <c r="D609" s="13" t="s">
        <v>244</v>
      </c>
      <c r="E609" s="14" t="s">
        <v>245</v>
      </c>
      <c r="F609" s="14" t="s">
        <v>1787</v>
      </c>
      <c r="G609" s="13" t="s">
        <v>149</v>
      </c>
      <c r="H609" s="18" t="str">
        <f>IFERROR(INDEX('المحافظات Governorates'!$E$2:$E$151,MATCH(D609,'المحافظات Governorates'!$A$2:$A$151,0)),"")</f>
        <v>Badr</v>
      </c>
      <c r="I609" s="18" t="str">
        <f>IFERROR(INDEX('المناطق Regions'!$C$2:$C$15,MATCH(B609,'المناطق Regions'!$A$2:$A$15,0)),"")</f>
        <v>Madinah Al-Munawwarah</v>
      </c>
      <c r="J609" s="18" t="str">
        <f>F609&amp;", "&amp;E609&amp;", Saudi Arabia"</f>
        <v>طاشا, بدر, Saudi Arabia</v>
      </c>
      <c r="K609" s="18">
        <v>24.210507</v>
      </c>
      <c r="L609" s="18">
        <v>38.867949</v>
      </c>
      <c r="M609" s="18">
        <v>2000</v>
      </c>
      <c r="N609" s="18" t="s">
        <v>562</v>
      </c>
    </row>
    <row r="610" ht="15" customHeight="1" spans="1:14" x14ac:dyDescent="0.25">
      <c r="A610" s="11" t="s">
        <v>1788</v>
      </c>
      <c r="B610" s="11">
        <v>3</v>
      </c>
      <c r="C610" s="12" t="s">
        <v>51</v>
      </c>
      <c r="D610" s="11" t="s">
        <v>247</v>
      </c>
      <c r="E610" s="12" t="s">
        <v>248</v>
      </c>
      <c r="F610" s="12" t="s">
        <v>1789</v>
      </c>
      <c r="G610" s="11" t="s">
        <v>113</v>
      </c>
      <c r="H610" s="18" t="str">
        <f>IFERROR(INDEX('المحافظات Governorates'!$E$2:$E$151,MATCH(D610,'المحافظات Governorates'!$A$2:$A$151,0)),"")</f>
        <v>Khaybar</v>
      </c>
      <c r="I610" s="18" t="str">
        <f>IFERROR(INDEX('المناطق Regions'!$C$2:$C$15,MATCH(B610,'المناطق Regions'!$A$2:$A$15,0)),"")</f>
        <v>Madinah Al-Munawwarah</v>
      </c>
      <c r="J610" s="18" t="str">
        <f>F610&amp;", "&amp;E610&amp;", Saudi Arabia"</f>
        <v>العشاش, خيبر, Saudi Arabia</v>
      </c>
      <c r="K610" s="18">
        <v>26.067789</v>
      </c>
      <c r="L610" s="18">
        <v>39.364004</v>
      </c>
      <c r="M610" s="18">
        <v>2000</v>
      </c>
      <c r="N610" s="18" t="s">
        <v>562</v>
      </c>
    </row>
    <row r="611" ht="15" customHeight="1" spans="1:14" x14ac:dyDescent="0.25">
      <c r="A611" s="13" t="s">
        <v>1790</v>
      </c>
      <c r="B611" s="13">
        <v>3</v>
      </c>
      <c r="C611" s="14" t="s">
        <v>51</v>
      </c>
      <c r="D611" s="13" t="s">
        <v>247</v>
      </c>
      <c r="E611" s="14" t="s">
        <v>248</v>
      </c>
      <c r="F611" s="14" t="s">
        <v>1791</v>
      </c>
      <c r="G611" s="13" t="s">
        <v>113</v>
      </c>
      <c r="H611" s="18" t="str">
        <f>IFERROR(INDEX('المحافظات Governorates'!$E$2:$E$151,MATCH(D611,'المحافظات Governorates'!$A$2:$A$151,0)),"")</f>
        <v>Khaybar</v>
      </c>
      <c r="I611" s="18" t="str">
        <f>IFERROR(INDEX('المناطق Regions'!$C$2:$C$15,MATCH(B611,'المناطق Regions'!$A$2:$A$15,0)),"")</f>
        <v>Madinah Al-Munawwarah</v>
      </c>
      <c r="J611" s="18" t="str">
        <f>F611&amp;", "&amp;E611&amp;", Saudi Arabia"</f>
        <v>الصلصله, خيبر, Saudi Arabia</v>
      </c>
      <c r="K611" s="18">
        <v>25.264462</v>
      </c>
      <c r="L611" s="18">
        <v>39.32856</v>
      </c>
      <c r="M611" s="18">
        <v>2000</v>
      </c>
      <c r="N611" s="18" t="s">
        <v>562</v>
      </c>
    </row>
    <row r="612" ht="15" customHeight="1" spans="1:14" x14ac:dyDescent="0.25">
      <c r="A612" s="11" t="s">
        <v>1792</v>
      </c>
      <c r="B612" s="11">
        <v>3</v>
      </c>
      <c r="C612" s="12" t="s">
        <v>51</v>
      </c>
      <c r="D612" s="11" t="s">
        <v>247</v>
      </c>
      <c r="E612" s="12" t="s">
        <v>248</v>
      </c>
      <c r="F612" s="12" t="s">
        <v>1793</v>
      </c>
      <c r="G612" s="11" t="s">
        <v>149</v>
      </c>
      <c r="H612" s="18" t="str">
        <f>IFERROR(INDEX('المحافظات Governorates'!$E$2:$E$151,MATCH(D612,'المحافظات Governorates'!$A$2:$A$151,0)),"")</f>
        <v>Khaybar</v>
      </c>
      <c r="I612" s="18" t="str">
        <f>IFERROR(INDEX('المناطق Regions'!$C$2:$C$15,MATCH(B612,'المناطق Regions'!$A$2:$A$15,0)),"")</f>
        <v>Madinah Al-Munawwarah</v>
      </c>
      <c r="J612" s="18" t="str">
        <f>F612&amp;", "&amp;E612&amp;", Saudi Arabia"</f>
        <v>العيينه, خيبر, Saudi Arabia</v>
      </c>
      <c r="K612" s="18">
        <v>25.919999</v>
      </c>
      <c r="L612" s="18">
        <v>39.361753</v>
      </c>
      <c r="M612" s="18">
        <v>130548</v>
      </c>
      <c r="N612" s="18" t="s">
        <v>1324</v>
      </c>
    </row>
    <row r="613" ht="15" customHeight="1" spans="1:14" x14ac:dyDescent="0.25">
      <c r="A613" s="13" t="s">
        <v>1794</v>
      </c>
      <c r="B613" s="13">
        <v>3</v>
      </c>
      <c r="C613" s="14" t="s">
        <v>51</v>
      </c>
      <c r="D613" s="13" t="s">
        <v>247</v>
      </c>
      <c r="E613" s="14" t="s">
        <v>248</v>
      </c>
      <c r="F613" s="14" t="s">
        <v>1795</v>
      </c>
      <c r="G613" s="13" t="s">
        <v>149</v>
      </c>
      <c r="H613" s="18" t="str">
        <f>IFERROR(INDEX('المحافظات Governorates'!$E$2:$E$151,MATCH(D613,'المحافظات Governorates'!$A$2:$A$151,0)),"")</f>
        <v>Khaybar</v>
      </c>
      <c r="I613" s="18" t="str">
        <f>IFERROR(INDEX('المناطق Regions'!$C$2:$C$15,MATCH(B613,'المناطق Regions'!$A$2:$A$15,0)),"")</f>
        <v>Madinah Al-Munawwarah</v>
      </c>
      <c r="J613" s="18" t="str">
        <f>F613&amp;", "&amp;E613&amp;", Saudi Arabia"</f>
        <v>عشرة, خيبر, Saudi Arabia</v>
      </c>
      <c r="K613" s="18">
        <v>26.076651</v>
      </c>
      <c r="L613" s="18">
        <v>38.886098</v>
      </c>
      <c r="M613" s="18">
        <v>2000</v>
      </c>
      <c r="N613" s="18" t="s">
        <v>562</v>
      </c>
    </row>
    <row r="614" ht="15" customHeight="1" spans="1:14" x14ac:dyDescent="0.25">
      <c r="A614" s="11" t="s">
        <v>1796</v>
      </c>
      <c r="B614" s="11">
        <v>3</v>
      </c>
      <c r="C614" s="12" t="s">
        <v>51</v>
      </c>
      <c r="D614" s="11" t="s">
        <v>247</v>
      </c>
      <c r="E614" s="12" t="s">
        <v>248</v>
      </c>
      <c r="F614" s="12" t="s">
        <v>1797</v>
      </c>
      <c r="G614" s="11" t="s">
        <v>149</v>
      </c>
      <c r="H614" s="18" t="str">
        <f>IFERROR(INDEX('المحافظات Governorates'!$E$2:$E$151,MATCH(D614,'المحافظات Governorates'!$A$2:$A$151,0)),"")</f>
        <v>Khaybar</v>
      </c>
      <c r="I614" s="18" t="str">
        <f>IFERROR(INDEX('المناطق Regions'!$C$2:$C$15,MATCH(B614,'المناطق Regions'!$A$2:$A$15,0)),"")</f>
        <v>Madinah Al-Munawwarah</v>
      </c>
      <c r="J614" s="18" t="str">
        <f>F614&amp;", "&amp;E614&amp;", Saudi Arabia"</f>
        <v>الحفيرة, خيبر, Saudi Arabia</v>
      </c>
      <c r="K614" s="18">
        <v>26.436046</v>
      </c>
      <c r="L614" s="18">
        <v>39.245751</v>
      </c>
      <c r="M614" s="18">
        <v>2000</v>
      </c>
      <c r="N614" s="18" t="s">
        <v>562</v>
      </c>
    </row>
    <row r="615" ht="15" customHeight="1" spans="1:14" x14ac:dyDescent="0.25">
      <c r="A615" s="13" t="s">
        <v>1798</v>
      </c>
      <c r="B615" s="13">
        <v>3</v>
      </c>
      <c r="C615" s="14" t="s">
        <v>51</v>
      </c>
      <c r="D615" s="13" t="s">
        <v>247</v>
      </c>
      <c r="E615" s="14" t="s">
        <v>248</v>
      </c>
      <c r="F615" s="14" t="s">
        <v>1799</v>
      </c>
      <c r="G615" s="13" t="s">
        <v>113</v>
      </c>
      <c r="H615" s="18" t="str">
        <f>IFERROR(INDEX('المحافظات Governorates'!$E$2:$E$151,MATCH(D615,'المحافظات Governorates'!$A$2:$A$151,0)),"")</f>
        <v>Khaybar</v>
      </c>
      <c r="I615" s="18" t="str">
        <f>IFERROR(INDEX('المناطق Regions'!$C$2:$C$15,MATCH(B615,'المناطق Regions'!$A$2:$A$15,0)),"")</f>
        <v>Madinah Al-Munawwarah</v>
      </c>
      <c r="J615" s="18" t="str">
        <f>F615&amp;", "&amp;E615&amp;", Saudi Arabia"</f>
        <v>الثمد, خيبر, Saudi Arabia</v>
      </c>
      <c r="K615" s="18">
        <v>25.527959</v>
      </c>
      <c r="L615" s="18">
        <v>39.339466</v>
      </c>
      <c r="M615" s="18">
        <v>2000</v>
      </c>
      <c r="N615" s="18" t="s">
        <v>562</v>
      </c>
    </row>
    <row r="616" ht="15" customHeight="1" spans="1:14" x14ac:dyDescent="0.25">
      <c r="A616" s="11" t="s">
        <v>1800</v>
      </c>
      <c r="B616" s="11">
        <v>3</v>
      </c>
      <c r="C616" s="12" t="s">
        <v>51</v>
      </c>
      <c r="D616" s="11" t="s">
        <v>247</v>
      </c>
      <c r="E616" s="12" t="s">
        <v>248</v>
      </c>
      <c r="F616" s="12" t="s">
        <v>1801</v>
      </c>
      <c r="G616" s="11" t="s">
        <v>149</v>
      </c>
      <c r="H616" s="18" t="str">
        <f>IFERROR(INDEX('المحافظات Governorates'!$E$2:$E$151,MATCH(D616,'المحافظات Governorates'!$A$2:$A$151,0)),"")</f>
        <v>Khaybar</v>
      </c>
      <c r="I616" s="18" t="str">
        <f>IFERROR(INDEX('المناطق Regions'!$C$2:$C$15,MATCH(B616,'المناطق Regions'!$A$2:$A$15,0)),"")</f>
        <v>Madinah Al-Munawwarah</v>
      </c>
      <c r="J616" s="18" t="str">
        <f>F616&amp;", "&amp;E616&amp;", Saudi Arabia"</f>
        <v>جدعاء, خيبر, Saudi Arabia</v>
      </c>
      <c r="K616" s="18">
        <v>26.194694</v>
      </c>
      <c r="L616" s="18">
        <v>39.654443</v>
      </c>
      <c r="M616" s="18">
        <v>2000</v>
      </c>
      <c r="N616" s="18" t="s">
        <v>562</v>
      </c>
    </row>
    <row r="617" ht="15" customHeight="1" spans="1:14" x14ac:dyDescent="0.25">
      <c r="A617" s="13" t="s">
        <v>1802</v>
      </c>
      <c r="B617" s="13">
        <v>3</v>
      </c>
      <c r="C617" s="14" t="s">
        <v>51</v>
      </c>
      <c r="D617" s="13" t="s">
        <v>247</v>
      </c>
      <c r="E617" s="14" t="s">
        <v>248</v>
      </c>
      <c r="F617" s="14" t="s">
        <v>1803</v>
      </c>
      <c r="G617" s="13" t="s">
        <v>149</v>
      </c>
      <c r="H617" s="18" t="str">
        <f>IFERROR(INDEX('المحافظات Governorates'!$E$2:$E$151,MATCH(D617,'المحافظات Governorates'!$A$2:$A$151,0)),"")</f>
        <v>Khaybar</v>
      </c>
      <c r="I617" s="18" t="str">
        <f>IFERROR(INDEX('المناطق Regions'!$C$2:$C$15,MATCH(B617,'المناطق Regions'!$A$2:$A$15,0)),"")</f>
        <v>Madinah Al-Munawwarah</v>
      </c>
      <c r="J617" s="18" t="str">
        <f>F617&amp;", "&amp;E617&amp;", Saudi Arabia"</f>
        <v>اللحن, خيبر, Saudi Arabia</v>
      </c>
      <c r="K617" s="18">
        <v>25.147405</v>
      </c>
      <c r="L617" s="18">
        <v>39.308656</v>
      </c>
      <c r="M617" s="18">
        <v>2000</v>
      </c>
      <c r="N617" s="18" t="s">
        <v>562</v>
      </c>
    </row>
    <row r="618" ht="15" customHeight="1" spans="1:14" x14ac:dyDescent="0.25">
      <c r="A618" s="11" t="s">
        <v>1804</v>
      </c>
      <c r="B618" s="11">
        <v>3</v>
      </c>
      <c r="C618" s="12" t="s">
        <v>51</v>
      </c>
      <c r="D618" s="11" t="s">
        <v>247</v>
      </c>
      <c r="E618" s="12" t="s">
        <v>248</v>
      </c>
      <c r="F618" s="12" t="s">
        <v>1805</v>
      </c>
      <c r="G618" s="11" t="s">
        <v>149</v>
      </c>
      <c r="H618" s="18" t="str">
        <f>IFERROR(INDEX('المحافظات Governorates'!$E$2:$E$151,MATCH(D618,'المحافظات Governorates'!$A$2:$A$151,0)),"")</f>
        <v>Khaybar</v>
      </c>
      <c r="I618" s="18" t="str">
        <f>IFERROR(INDEX('المناطق Regions'!$C$2:$C$15,MATCH(B618,'المناطق Regions'!$A$2:$A$15,0)),"")</f>
        <v>Madinah Al-Munawwarah</v>
      </c>
      <c r="J618" s="18" t="str">
        <f>F618&amp;", "&amp;E618&amp;", Saudi Arabia"</f>
        <v>العرايد, خيبر, Saudi Arabia</v>
      </c>
      <c r="K618" s="18">
        <v>25.919999</v>
      </c>
      <c r="L618" s="18">
        <v>39.361753</v>
      </c>
      <c r="M618" s="18">
        <v>130548</v>
      </c>
      <c r="N618" s="18" t="s">
        <v>1324</v>
      </c>
    </row>
    <row r="619" ht="15" customHeight="1" spans="1:14" x14ac:dyDescent="0.25">
      <c r="A619" s="13" t="s">
        <v>1806</v>
      </c>
      <c r="B619" s="13">
        <v>3</v>
      </c>
      <c r="C619" s="14" t="s">
        <v>51</v>
      </c>
      <c r="D619" s="13" t="s">
        <v>250</v>
      </c>
      <c r="E619" s="14" t="s">
        <v>251</v>
      </c>
      <c r="F619" s="14" t="s">
        <v>1807</v>
      </c>
      <c r="G619" s="13" t="s">
        <v>113</v>
      </c>
      <c r="H619" s="18" t="str">
        <f>IFERROR(INDEX('المحافظات Governorates'!$E$2:$E$151,MATCH(D619,'المحافظات Governorates'!$A$2:$A$151,0)),"")</f>
        <v>Al-Hanakiyah</v>
      </c>
      <c r="I619" s="18" t="str">
        <f>IFERROR(INDEX('المناطق Regions'!$C$2:$C$15,MATCH(B619,'المناطق Regions'!$A$2:$A$15,0)),"")</f>
        <v>Madinah Al-Munawwarah</v>
      </c>
      <c r="J619" s="18" t="str">
        <f>F619&amp;", "&amp;E619&amp;", Saudi Arabia"</f>
        <v>الحسو, الحناكيه, Saudi Arabia</v>
      </c>
      <c r="K619" s="18">
        <v>24.609802</v>
      </c>
      <c r="L619" s="18">
        <v>41.614358</v>
      </c>
      <c r="M619" s="18">
        <v>2000</v>
      </c>
      <c r="N619" s="18" t="s">
        <v>642</v>
      </c>
    </row>
    <row r="620" ht="15" customHeight="1" spans="1:14" x14ac:dyDescent="0.25">
      <c r="A620" s="11" t="s">
        <v>1808</v>
      </c>
      <c r="B620" s="11">
        <v>3</v>
      </c>
      <c r="C620" s="12" t="s">
        <v>51</v>
      </c>
      <c r="D620" s="11" t="s">
        <v>250</v>
      </c>
      <c r="E620" s="12" t="s">
        <v>251</v>
      </c>
      <c r="F620" s="12" t="s">
        <v>1544</v>
      </c>
      <c r="G620" s="11" t="s">
        <v>113</v>
      </c>
      <c r="H620" s="18" t="str">
        <f>IFERROR(INDEX('المحافظات Governorates'!$E$2:$E$151,MATCH(D620,'المحافظات Governorates'!$A$2:$A$151,0)),"")</f>
        <v>Al-Hanakiyah</v>
      </c>
      <c r="I620" s="18" t="str">
        <f>IFERROR(INDEX('المناطق Regions'!$C$2:$C$15,MATCH(B620,'المناطق Regions'!$A$2:$A$15,0)),"")</f>
        <v>Madinah Al-Munawwarah</v>
      </c>
      <c r="J620" s="18" t="str">
        <f>F620&amp;", "&amp;E620&amp;", Saudi Arabia"</f>
        <v>النخيل, الحناكيه, Saudi Arabia</v>
      </c>
      <c r="K620" s="18">
        <v>25.065774</v>
      </c>
      <c r="L620" s="18">
        <v>40.441717</v>
      </c>
      <c r="M620" s="18">
        <v>2000</v>
      </c>
      <c r="N620" s="18" t="s">
        <v>642</v>
      </c>
    </row>
    <row r="621" ht="15" customHeight="1" spans="1:14" x14ac:dyDescent="0.25">
      <c r="A621" s="13" t="s">
        <v>1809</v>
      </c>
      <c r="B621" s="13">
        <v>3</v>
      </c>
      <c r="C621" s="14" t="s">
        <v>51</v>
      </c>
      <c r="D621" s="13" t="s">
        <v>250</v>
      </c>
      <c r="E621" s="14" t="s">
        <v>251</v>
      </c>
      <c r="F621" s="14" t="s">
        <v>656</v>
      </c>
      <c r="G621" s="13" t="s">
        <v>113</v>
      </c>
      <c r="H621" s="18" t="str">
        <f>IFERROR(INDEX('المحافظات Governorates'!$E$2:$E$151,MATCH(D621,'المحافظات Governorates'!$A$2:$A$151,0)),"")</f>
        <v>Al-Hanakiyah</v>
      </c>
      <c r="I621" s="18" t="str">
        <f>IFERROR(INDEX('المناطق Regions'!$C$2:$C$15,MATCH(B621,'المناطق Regions'!$A$2:$A$15,0)),"")</f>
        <v>Madinah Al-Munawwarah</v>
      </c>
      <c r="J621" s="18" t="str">
        <f>F621&amp;", "&amp;E621&amp;", Saudi Arabia"</f>
        <v>عرجاء, الحناكيه, Saudi Arabia</v>
      </c>
      <c r="K621" s="18">
        <v>25.305528</v>
      </c>
      <c r="L621" s="18">
        <v>40.984345</v>
      </c>
      <c r="M621" s="18">
        <v>2000</v>
      </c>
      <c r="N621" s="18" t="s">
        <v>642</v>
      </c>
    </row>
    <row r="622" ht="15" customHeight="1" spans="1:14" x14ac:dyDescent="0.25">
      <c r="A622" s="11" t="s">
        <v>1810</v>
      </c>
      <c r="B622" s="11">
        <v>3</v>
      </c>
      <c r="C622" s="12" t="s">
        <v>51</v>
      </c>
      <c r="D622" s="11" t="s">
        <v>250</v>
      </c>
      <c r="E622" s="12" t="s">
        <v>251</v>
      </c>
      <c r="F622" s="12" t="s">
        <v>1811</v>
      </c>
      <c r="G622" s="11" t="s">
        <v>149</v>
      </c>
      <c r="H622" s="18" t="str">
        <f>IFERROR(INDEX('المحافظات Governorates'!$E$2:$E$151,MATCH(D622,'المحافظات Governorates'!$A$2:$A$151,0)),"")</f>
        <v>Al-Hanakiyah</v>
      </c>
      <c r="I622" s="18" t="str">
        <f>IFERROR(INDEX('المناطق Regions'!$C$2:$C$15,MATCH(B622,'المناطق Regions'!$A$2:$A$15,0)),"")</f>
        <v>Madinah Al-Munawwarah</v>
      </c>
      <c r="J622" s="18" t="str">
        <f>F622&amp;", "&amp;E622&amp;", Saudi Arabia"</f>
        <v>طلال, الحناكيه, Saudi Arabia</v>
      </c>
      <c r="K622" s="18">
        <v>24.665083</v>
      </c>
      <c r="L622" s="18">
        <v>41.96914</v>
      </c>
      <c r="M622" s="18">
        <v>2000</v>
      </c>
      <c r="N622" s="18" t="s">
        <v>642</v>
      </c>
    </row>
    <row r="623" ht="15" customHeight="1" spans="1:14" x14ac:dyDescent="0.25">
      <c r="A623" s="13" t="s">
        <v>1812</v>
      </c>
      <c r="B623" s="13">
        <v>3</v>
      </c>
      <c r="C623" s="14" t="s">
        <v>51</v>
      </c>
      <c r="D623" s="13" t="s">
        <v>250</v>
      </c>
      <c r="E623" s="14" t="s">
        <v>251</v>
      </c>
      <c r="F623" s="14" t="s">
        <v>1813</v>
      </c>
      <c r="G623" s="13" t="s">
        <v>113</v>
      </c>
      <c r="H623" s="18" t="str">
        <f>IFERROR(INDEX('المحافظات Governorates'!$E$2:$E$151,MATCH(D623,'المحافظات Governorates'!$A$2:$A$151,0)),"")</f>
        <v>Al-Hanakiyah</v>
      </c>
      <c r="I623" s="18" t="str">
        <f>IFERROR(INDEX('المناطق Regions'!$C$2:$C$15,MATCH(B623,'المناطق Regions'!$A$2:$A$15,0)),"")</f>
        <v>Madinah Al-Munawwarah</v>
      </c>
      <c r="J623" s="18" t="str">
        <f>F623&amp;", "&amp;E623&amp;", Saudi Arabia"</f>
        <v>الهميج, الحناكيه, Saudi Arabia</v>
      </c>
      <c r="K623" s="18">
        <v>25.034133</v>
      </c>
      <c r="L623" s="18">
        <v>41.228001</v>
      </c>
      <c r="M623" s="18">
        <v>2000</v>
      </c>
      <c r="N623" s="18" t="s">
        <v>642</v>
      </c>
    </row>
    <row r="624" ht="15" customHeight="1" spans="1:14" x14ac:dyDescent="0.25">
      <c r="A624" s="11" t="s">
        <v>1814</v>
      </c>
      <c r="B624" s="11">
        <v>3</v>
      </c>
      <c r="C624" s="12" t="s">
        <v>51</v>
      </c>
      <c r="D624" s="11" t="s">
        <v>250</v>
      </c>
      <c r="E624" s="12" t="s">
        <v>251</v>
      </c>
      <c r="F624" s="12" t="s">
        <v>1815</v>
      </c>
      <c r="G624" s="11" t="s">
        <v>149</v>
      </c>
      <c r="H624" s="18" t="str">
        <f>IFERROR(INDEX('المحافظات Governorates'!$E$2:$E$151,MATCH(D624,'المحافظات Governorates'!$A$2:$A$151,0)),"")</f>
        <v>Al-Hanakiyah</v>
      </c>
      <c r="I624" s="18" t="str">
        <f>IFERROR(INDEX('المناطق Regions'!$C$2:$C$15,MATCH(B624,'المناطق Regions'!$A$2:$A$15,0)),"")</f>
        <v>Madinah Al-Munawwarah</v>
      </c>
      <c r="J624" s="18" t="str">
        <f>F624&amp;", "&amp;E624&amp;", Saudi Arabia"</f>
        <v>هدبان, الحناكيه, Saudi Arabia</v>
      </c>
      <c r="K624" s="18">
        <v>24.799444</v>
      </c>
      <c r="L624" s="18">
        <v>41.699113</v>
      </c>
      <c r="M624" s="18">
        <v>2000</v>
      </c>
      <c r="N624" s="18" t="s">
        <v>642</v>
      </c>
    </row>
    <row r="625" ht="15" customHeight="1" spans="1:14" x14ac:dyDescent="0.25">
      <c r="A625" s="13" t="s">
        <v>1816</v>
      </c>
      <c r="B625" s="13">
        <v>3</v>
      </c>
      <c r="C625" s="14" t="s">
        <v>51</v>
      </c>
      <c r="D625" s="13" t="s">
        <v>250</v>
      </c>
      <c r="E625" s="14" t="s">
        <v>251</v>
      </c>
      <c r="F625" s="14" t="s">
        <v>1817</v>
      </c>
      <c r="G625" s="13" t="s">
        <v>149</v>
      </c>
      <c r="H625" s="18" t="str">
        <f>IFERROR(INDEX('المحافظات Governorates'!$E$2:$E$151,MATCH(D625,'المحافظات Governorates'!$A$2:$A$151,0)),"")</f>
        <v>Al-Hanakiyah</v>
      </c>
      <c r="I625" s="18" t="str">
        <f>IFERROR(INDEX('المناطق Regions'!$C$2:$C$15,MATCH(B625,'المناطق Regions'!$A$2:$A$15,0)),"")</f>
        <v>Madinah Al-Munawwarah</v>
      </c>
      <c r="J625" s="18" t="str">
        <f>F625&amp;", "&amp;E625&amp;", Saudi Arabia"</f>
        <v>بلغه, الحناكيه, Saudi Arabia</v>
      </c>
      <c r="K625" s="18">
        <v>24.945028</v>
      </c>
      <c r="L625" s="18">
        <v>41.6028</v>
      </c>
      <c r="M625" s="18">
        <v>2000</v>
      </c>
      <c r="N625" s="18" t="s">
        <v>642</v>
      </c>
    </row>
    <row r="626" ht="15" customHeight="1" spans="1:14" x14ac:dyDescent="0.25">
      <c r="A626" s="11" t="s">
        <v>1818</v>
      </c>
      <c r="B626" s="11">
        <v>3</v>
      </c>
      <c r="C626" s="12" t="s">
        <v>51</v>
      </c>
      <c r="D626" s="11" t="s">
        <v>250</v>
      </c>
      <c r="E626" s="12" t="s">
        <v>251</v>
      </c>
      <c r="F626" s="12" t="s">
        <v>1819</v>
      </c>
      <c r="G626" s="11" t="s">
        <v>149</v>
      </c>
      <c r="H626" s="18" t="str">
        <f>IFERROR(INDEX('المحافظات Governorates'!$E$2:$E$151,MATCH(D626,'المحافظات Governorates'!$A$2:$A$151,0)),"")</f>
        <v>Al-Hanakiyah</v>
      </c>
      <c r="I626" s="18" t="str">
        <f>IFERROR(INDEX('المناطق Regions'!$C$2:$C$15,MATCH(B626,'المناطق Regions'!$A$2:$A$15,0)),"")</f>
        <v>Madinah Al-Munawwarah</v>
      </c>
      <c r="J626" s="18" t="str">
        <f>F626&amp;", "&amp;E626&amp;", Saudi Arabia"</f>
        <v>صخيبره, الحناكيه, Saudi Arabia</v>
      </c>
      <c r="K626" s="18">
        <v>24.330176</v>
      </c>
      <c r="L626" s="18">
        <v>41.268862</v>
      </c>
      <c r="M626" s="18">
        <v>2000</v>
      </c>
      <c r="N626" s="18" t="s">
        <v>562</v>
      </c>
    </row>
    <row r="627" ht="15" customHeight="1" spans="1:14" x14ac:dyDescent="0.25">
      <c r="A627" s="13" t="s">
        <v>1820</v>
      </c>
      <c r="B627" s="13">
        <v>3</v>
      </c>
      <c r="C627" s="14" t="s">
        <v>51</v>
      </c>
      <c r="D627" s="13" t="s">
        <v>250</v>
      </c>
      <c r="E627" s="14" t="s">
        <v>251</v>
      </c>
      <c r="F627" s="14" t="s">
        <v>1821</v>
      </c>
      <c r="G627" s="13" t="s">
        <v>149</v>
      </c>
      <c r="H627" s="18" t="str">
        <f>IFERROR(INDEX('المحافظات Governorates'!$E$2:$E$151,MATCH(D627,'المحافظات Governorates'!$A$2:$A$151,0)),"")</f>
        <v>Al-Hanakiyah</v>
      </c>
      <c r="I627" s="18" t="str">
        <f>IFERROR(INDEX('المناطق Regions'!$C$2:$C$15,MATCH(B627,'المناطق Regions'!$A$2:$A$15,0)),"")</f>
        <v>Madinah Al-Munawwarah</v>
      </c>
      <c r="J627" s="18" t="str">
        <f>F627&amp;", "&amp;E627&amp;", Saudi Arabia"</f>
        <v>الشقران, الحناكيه, Saudi Arabia</v>
      </c>
      <c r="K627" s="18">
        <v>25.018463</v>
      </c>
      <c r="L627" s="18">
        <v>40.695663</v>
      </c>
      <c r="M627" s="18">
        <v>2000</v>
      </c>
      <c r="N627" s="18" t="s">
        <v>642</v>
      </c>
    </row>
    <row r="628" ht="15" customHeight="1" spans="1:14" x14ac:dyDescent="0.25">
      <c r="A628" s="11" t="s">
        <v>1822</v>
      </c>
      <c r="B628" s="11">
        <v>3</v>
      </c>
      <c r="C628" s="12" t="s">
        <v>51</v>
      </c>
      <c r="D628" s="11" t="s">
        <v>250</v>
      </c>
      <c r="E628" s="12" t="s">
        <v>251</v>
      </c>
      <c r="F628" s="12" t="s">
        <v>1823</v>
      </c>
      <c r="G628" s="11" t="s">
        <v>149</v>
      </c>
      <c r="H628" s="18" t="str">
        <f>IFERROR(INDEX('المحافظات Governorates'!$E$2:$E$151,MATCH(D628,'المحافظات Governorates'!$A$2:$A$151,0)),"")</f>
        <v>Al-Hanakiyah</v>
      </c>
      <c r="I628" s="18" t="str">
        <f>IFERROR(INDEX('المناطق Regions'!$C$2:$C$15,MATCH(B628,'المناطق Regions'!$A$2:$A$15,0)),"")</f>
        <v>Madinah Al-Munawwarah</v>
      </c>
      <c r="J628" s="18" t="str">
        <f>F628&amp;", "&amp;E628&amp;", Saudi Arabia"</f>
        <v>بطحي, الحناكيه, Saudi Arabia</v>
      </c>
      <c r="K628" s="18">
        <v>25.027126</v>
      </c>
      <c r="L628" s="18">
        <v>41.913369</v>
      </c>
      <c r="M628" s="18">
        <v>2000</v>
      </c>
      <c r="N628" s="18" t="s">
        <v>642</v>
      </c>
    </row>
    <row r="629" ht="15" customHeight="1" spans="1:14" x14ac:dyDescent="0.25">
      <c r="A629" s="13" t="s">
        <v>1824</v>
      </c>
      <c r="B629" s="13">
        <v>3</v>
      </c>
      <c r="C629" s="14" t="s">
        <v>51</v>
      </c>
      <c r="D629" s="13" t="s">
        <v>253</v>
      </c>
      <c r="E629" s="14" t="s">
        <v>254</v>
      </c>
      <c r="F629" s="14" t="s">
        <v>1825</v>
      </c>
      <c r="G629" s="13" t="s">
        <v>113</v>
      </c>
      <c r="H629" s="18" t="str">
        <f>IFERROR(INDEX('المحافظات Governorates'!$E$2:$E$151,MATCH(D629,'المحافظات Governorates'!$A$2:$A$151,0)),"")</f>
        <v>Wadi Al-Fara'</v>
      </c>
      <c r="I629" s="18" t="str">
        <f>IFERROR(INDEX('المناطق Regions'!$C$2:$C$15,MATCH(B629,'المناطق Regions'!$A$2:$A$15,0)),"")</f>
        <v>Madinah Al-Munawwarah</v>
      </c>
      <c r="J629" s="18" t="str">
        <f>F629&amp;", "&amp;E629&amp;", Saudi Arabia"</f>
        <v>اليتمة, وادي الفرع, Saudi Arabia</v>
      </c>
      <c r="K629" s="18">
        <v>23.830035</v>
      </c>
      <c r="L629" s="18">
        <v>39.636863</v>
      </c>
      <c r="M629" s="18">
        <v>2000</v>
      </c>
      <c r="N629" s="18" t="s">
        <v>562</v>
      </c>
    </row>
    <row r="630" ht="15" customHeight="1" spans="1:14" x14ac:dyDescent="0.25">
      <c r="A630" s="11" t="s">
        <v>1826</v>
      </c>
      <c r="B630" s="11">
        <v>3</v>
      </c>
      <c r="C630" s="12" t="s">
        <v>51</v>
      </c>
      <c r="D630" s="11" t="s">
        <v>253</v>
      </c>
      <c r="E630" s="12" t="s">
        <v>254</v>
      </c>
      <c r="F630" s="12" t="s">
        <v>1827</v>
      </c>
      <c r="G630" s="11" t="s">
        <v>113</v>
      </c>
      <c r="H630" s="18" t="str">
        <f>IFERROR(INDEX('المحافظات Governorates'!$E$2:$E$151,MATCH(D630,'المحافظات Governorates'!$A$2:$A$151,0)),"")</f>
        <v>Wadi Al-Fara'</v>
      </c>
      <c r="I630" s="18" t="str">
        <f>IFERROR(INDEX('المناطق Regions'!$C$2:$C$15,MATCH(B630,'المناطق Regions'!$A$2:$A$15,0)),"")</f>
        <v>Madinah Al-Munawwarah</v>
      </c>
      <c r="J630" s="18" t="str">
        <f>F630&amp;", "&amp;E630&amp;", Saudi Arabia"</f>
        <v>الاكحل, وادي الفرع, Saudi Arabia</v>
      </c>
      <c r="K630" s="18">
        <v>23.298501</v>
      </c>
      <c r="L630" s="18">
        <v>39.852564</v>
      </c>
      <c r="M630" s="18">
        <v>2000</v>
      </c>
      <c r="N630" s="18" t="s">
        <v>562</v>
      </c>
    </row>
    <row r="631" ht="15" customHeight="1" spans="1:14" x14ac:dyDescent="0.25">
      <c r="A631" s="13" t="s">
        <v>1828</v>
      </c>
      <c r="B631" s="13">
        <v>3</v>
      </c>
      <c r="C631" s="14" t="s">
        <v>51</v>
      </c>
      <c r="D631" s="13" t="s">
        <v>253</v>
      </c>
      <c r="E631" s="14" t="s">
        <v>254</v>
      </c>
      <c r="F631" s="14" t="s">
        <v>1829</v>
      </c>
      <c r="G631" s="13" t="s">
        <v>113</v>
      </c>
      <c r="H631" s="18" t="str">
        <f>IFERROR(INDEX('المحافظات Governorates'!$E$2:$E$151,MATCH(D631,'المحافظات Governorates'!$A$2:$A$151,0)),"")</f>
        <v>Wadi Al-Fara'</v>
      </c>
      <c r="I631" s="18" t="str">
        <f>IFERROR(INDEX('المناطق Regions'!$C$2:$C$15,MATCH(B631,'المناطق Regions'!$A$2:$A$15,0)),"")</f>
        <v>Madinah Al-Munawwarah</v>
      </c>
      <c r="J631" s="18" t="str">
        <f>F631&amp;", "&amp;E631&amp;", Saudi Arabia"</f>
        <v>ابو ضباع, وادي الفرع, Saudi Arabia</v>
      </c>
      <c r="K631" s="18">
        <v>23.198611</v>
      </c>
      <c r="L631" s="18">
        <v>39.558056</v>
      </c>
      <c r="M631" s="18">
        <v>2000</v>
      </c>
      <c r="N631" s="18" t="s">
        <v>562</v>
      </c>
    </row>
    <row r="632" ht="15" customHeight="1" spans="1:14" x14ac:dyDescent="0.25">
      <c r="A632" s="11" t="s">
        <v>1830</v>
      </c>
      <c r="B632" s="11">
        <v>3</v>
      </c>
      <c r="C632" s="12" t="s">
        <v>51</v>
      </c>
      <c r="D632" s="11" t="s">
        <v>253</v>
      </c>
      <c r="E632" s="12" t="s">
        <v>254</v>
      </c>
      <c r="F632" s="12" t="s">
        <v>1831</v>
      </c>
      <c r="G632" s="11" t="s">
        <v>113</v>
      </c>
      <c r="H632" s="18" t="str">
        <f>IFERROR(INDEX('المحافظات Governorates'!$E$2:$E$151,MATCH(D632,'المحافظات Governorates'!$A$2:$A$151,0)),"")</f>
        <v>Wadi Al-Fara'</v>
      </c>
      <c r="I632" s="18" t="str">
        <f>IFERROR(INDEX('المناطق Regions'!$C$2:$C$15,MATCH(B632,'المناطق Regions'!$A$2:$A$15,0)),"")</f>
        <v>Madinah Al-Munawwarah</v>
      </c>
      <c r="J632" s="18" t="str">
        <f>F632&amp;", "&amp;E632&amp;", Saudi Arabia"</f>
        <v>الهنديه, وادي الفرع, Saudi Arabia</v>
      </c>
      <c r="K632" s="18">
        <v>23.639267</v>
      </c>
      <c r="L632" s="18">
        <v>39.743923</v>
      </c>
      <c r="M632" s="18">
        <v>2000</v>
      </c>
      <c r="N632" s="18" t="s">
        <v>562</v>
      </c>
    </row>
    <row r="633" ht="15" customHeight="1" spans="1:14" x14ac:dyDescent="0.25">
      <c r="A633" s="13" t="s">
        <v>1832</v>
      </c>
      <c r="B633" s="13">
        <v>3</v>
      </c>
      <c r="C633" s="14" t="s">
        <v>51</v>
      </c>
      <c r="D633" s="13" t="s">
        <v>253</v>
      </c>
      <c r="E633" s="14" t="s">
        <v>254</v>
      </c>
      <c r="F633" s="14" t="s">
        <v>1833</v>
      </c>
      <c r="G633" s="13" t="s">
        <v>113</v>
      </c>
      <c r="H633" s="18" t="str">
        <f>IFERROR(INDEX('المحافظات Governorates'!$E$2:$E$151,MATCH(D633,'المحافظات Governorates'!$A$2:$A$151,0)),"")</f>
        <v>Wadi Al-Fara'</v>
      </c>
      <c r="I633" s="18" t="str">
        <f>IFERROR(INDEX('المناطق Regions'!$C$2:$C$15,MATCH(B633,'المناطق Regions'!$A$2:$A$15,0)),"")</f>
        <v>Madinah Al-Munawwarah</v>
      </c>
      <c r="J633" s="18" t="str">
        <f>F633&amp;", "&amp;E633&amp;", Saudi Arabia"</f>
        <v>الحمنه, وادي الفرع, Saudi Arabia</v>
      </c>
      <c r="K633" s="18">
        <v>23.007799</v>
      </c>
      <c r="L633" s="18">
        <v>39.891015</v>
      </c>
      <c r="M633" s="18">
        <v>2000</v>
      </c>
      <c r="N633" s="18" t="s">
        <v>562</v>
      </c>
    </row>
    <row r="634" ht="15" customHeight="1" spans="1:14" x14ac:dyDescent="0.25">
      <c r="A634" s="11" t="s">
        <v>1834</v>
      </c>
      <c r="B634" s="11">
        <v>3</v>
      </c>
      <c r="C634" s="12" t="s">
        <v>51</v>
      </c>
      <c r="D634" s="11" t="s">
        <v>253</v>
      </c>
      <c r="E634" s="12" t="s">
        <v>254</v>
      </c>
      <c r="F634" s="12" t="s">
        <v>1835</v>
      </c>
      <c r="G634" s="11" t="s">
        <v>149</v>
      </c>
      <c r="H634" s="18" t="str">
        <f>IFERROR(INDEX('المحافظات Governorates'!$E$2:$E$151,MATCH(D634,'المحافظات Governorates'!$A$2:$A$151,0)),"")</f>
        <v>Wadi Al-Fara'</v>
      </c>
      <c r="I634" s="18" t="str">
        <f>IFERROR(INDEX('المناطق Regions'!$C$2:$C$15,MATCH(B634,'المناطق Regions'!$A$2:$A$15,0)),"")</f>
        <v>Madinah Al-Munawwarah</v>
      </c>
      <c r="J634" s="18" t="str">
        <f>F634&amp;", "&amp;E634&amp;", Saudi Arabia"</f>
        <v>أم البرك, وادي الفرع, Saudi Arabia</v>
      </c>
      <c r="K634" s="18">
        <v>23.431086</v>
      </c>
      <c r="L634" s="18">
        <v>39.228412</v>
      </c>
      <c r="M634" s="18">
        <v>2000</v>
      </c>
      <c r="N634" s="18" t="s">
        <v>562</v>
      </c>
    </row>
    <row r="635" ht="15" customHeight="1" spans="1:14" x14ac:dyDescent="0.25">
      <c r="A635" s="13" t="s">
        <v>1836</v>
      </c>
      <c r="B635" s="13">
        <v>3</v>
      </c>
      <c r="C635" s="14" t="s">
        <v>51</v>
      </c>
      <c r="D635" s="13" t="s">
        <v>253</v>
      </c>
      <c r="E635" s="14" t="s">
        <v>254</v>
      </c>
      <c r="F635" s="14" t="s">
        <v>1837</v>
      </c>
      <c r="G635" s="13" t="s">
        <v>149</v>
      </c>
      <c r="H635" s="18" t="str">
        <f>IFERROR(INDEX('المحافظات Governorates'!$E$2:$E$151,MATCH(D635,'المحافظات Governorates'!$A$2:$A$151,0)),"")</f>
        <v>Wadi Al-Fara'</v>
      </c>
      <c r="I635" s="18" t="str">
        <f>IFERROR(INDEX('المناطق Regions'!$C$2:$C$15,MATCH(B635,'المناطق Regions'!$A$2:$A$15,0)),"")</f>
        <v>Madinah Al-Munawwarah</v>
      </c>
      <c r="J635" s="18" t="str">
        <f>F635&amp;", "&amp;E635&amp;", Saudi Arabia"</f>
        <v>صوري, وادي الفرع, Saudi Arabia</v>
      </c>
      <c r="K635" s="18">
        <v>23.655228</v>
      </c>
      <c r="L635" s="18">
        <v>39.446361</v>
      </c>
      <c r="M635" s="18">
        <v>2000</v>
      </c>
      <c r="N635" s="18" t="s">
        <v>562</v>
      </c>
    </row>
    <row r="636" ht="15" customHeight="1" spans="1:14" x14ac:dyDescent="0.25">
      <c r="A636" s="11" t="s">
        <v>1838</v>
      </c>
      <c r="B636" s="11">
        <v>3</v>
      </c>
      <c r="C636" s="12" t="s">
        <v>51</v>
      </c>
      <c r="D636" s="11" t="s">
        <v>253</v>
      </c>
      <c r="E636" s="12" t="s">
        <v>254</v>
      </c>
      <c r="F636" s="12" t="s">
        <v>1839</v>
      </c>
      <c r="G636" s="11" t="s">
        <v>149</v>
      </c>
      <c r="H636" s="18" t="str">
        <f>IFERROR(INDEX('المحافظات Governorates'!$E$2:$E$151,MATCH(D636,'المحافظات Governorates'!$A$2:$A$151,0)),"")</f>
        <v>Wadi Al-Fara'</v>
      </c>
      <c r="I636" s="18" t="str">
        <f>IFERROR(INDEX('المناطق Regions'!$C$2:$C$15,MATCH(B636,'المناطق Regions'!$A$2:$A$15,0)),"")</f>
        <v>Madinah Al-Munawwarah</v>
      </c>
      <c r="J636" s="18" t="str">
        <f>F636&amp;", "&amp;E636&amp;", Saudi Arabia"</f>
        <v>المغيسل, وادي الفرع, Saudi Arabia</v>
      </c>
      <c r="K636" s="18">
        <v>23.09905</v>
      </c>
      <c r="L636" s="18">
        <v>39.773717</v>
      </c>
      <c r="M636" s="18">
        <v>2000</v>
      </c>
      <c r="N636" s="18" t="s">
        <v>562</v>
      </c>
    </row>
    <row r="637" ht="15" customHeight="1" spans="1:14" x14ac:dyDescent="0.25">
      <c r="A637" s="13" t="s">
        <v>1840</v>
      </c>
      <c r="B637" s="13">
        <v>3</v>
      </c>
      <c r="C637" s="14" t="s">
        <v>51</v>
      </c>
      <c r="D637" s="13" t="s">
        <v>256</v>
      </c>
      <c r="E637" s="14" t="s">
        <v>257</v>
      </c>
      <c r="F637" s="14" t="s">
        <v>1841</v>
      </c>
      <c r="G637" s="13" t="s">
        <v>113</v>
      </c>
      <c r="H637" s="18" t="str">
        <f>IFERROR(INDEX('المحافظات Governorates'!$E$2:$E$151,MATCH(D637,'المحافظات Governorates'!$A$2:$A$151,0)),"")</f>
        <v>Al-Ais</v>
      </c>
      <c r="I637" s="18" t="str">
        <f>IFERROR(INDEX('المناطق Regions'!$C$2:$C$15,MATCH(B637,'المناطق Regions'!$A$2:$A$15,0)),"")</f>
        <v>Madinah Al-Munawwarah</v>
      </c>
      <c r="J637" s="18" t="str">
        <f>F637&amp;", "&amp;E637&amp;", Saudi Arabia"</f>
        <v>سليلة جهينه, العيص, Saudi Arabia</v>
      </c>
      <c r="K637" s="18">
        <v>25.534658</v>
      </c>
      <c r="L637" s="18">
        <v>38.405542</v>
      </c>
      <c r="M637" s="18">
        <v>2000</v>
      </c>
      <c r="N637" s="18" t="s">
        <v>562</v>
      </c>
    </row>
    <row r="638" ht="15" customHeight="1" spans="1:14" x14ac:dyDescent="0.25">
      <c r="A638" s="11" t="s">
        <v>1842</v>
      </c>
      <c r="B638" s="11">
        <v>3</v>
      </c>
      <c r="C638" s="12" t="s">
        <v>51</v>
      </c>
      <c r="D638" s="11" t="s">
        <v>256</v>
      </c>
      <c r="E638" s="12" t="s">
        <v>257</v>
      </c>
      <c r="F638" s="12" t="s">
        <v>1843</v>
      </c>
      <c r="G638" s="11" t="s">
        <v>113</v>
      </c>
      <c r="H638" s="18" t="str">
        <f>IFERROR(INDEX('المحافظات Governorates'!$E$2:$E$151,MATCH(D638,'المحافظات Governorates'!$A$2:$A$151,0)),"")</f>
        <v>Al-Ais</v>
      </c>
      <c r="I638" s="18" t="str">
        <f>IFERROR(INDEX('المناطق Regions'!$C$2:$C$15,MATCH(B638,'المناطق Regions'!$A$2:$A$15,0)),"")</f>
        <v>Madinah Al-Munawwarah</v>
      </c>
      <c r="J638" s="18" t="str">
        <f>F638&amp;", "&amp;E638&amp;", Saudi Arabia"</f>
        <v>المربع, العيص, Saudi Arabia</v>
      </c>
      <c r="K638" s="18">
        <v>25.388155</v>
      </c>
      <c r="L638" s="18">
        <v>38.352048</v>
      </c>
      <c r="M638" s="18">
        <v>2000</v>
      </c>
      <c r="N638" s="18" t="s">
        <v>642</v>
      </c>
    </row>
    <row r="639" ht="15" customHeight="1" spans="1:14" x14ac:dyDescent="0.25">
      <c r="A639" s="13" t="s">
        <v>1844</v>
      </c>
      <c r="B639" s="13">
        <v>3</v>
      </c>
      <c r="C639" s="14" t="s">
        <v>51</v>
      </c>
      <c r="D639" s="13" t="s">
        <v>256</v>
      </c>
      <c r="E639" s="14" t="s">
        <v>257</v>
      </c>
      <c r="F639" s="14" t="s">
        <v>1845</v>
      </c>
      <c r="G639" s="13" t="s">
        <v>113</v>
      </c>
      <c r="H639" s="18" t="str">
        <f>IFERROR(INDEX('المحافظات Governorates'!$E$2:$E$151,MATCH(D639,'المحافظات Governorates'!$A$2:$A$151,0)),"")</f>
        <v>Al-Ais</v>
      </c>
      <c r="I639" s="18" t="str">
        <f>IFERROR(INDEX('المناطق Regions'!$C$2:$C$15,MATCH(B639,'المناطق Regions'!$A$2:$A$15,0)),"")</f>
        <v>Madinah Al-Munawwarah</v>
      </c>
      <c r="J639" s="18" t="str">
        <f>F639&amp;", "&amp;E639&amp;", Saudi Arabia"</f>
        <v>جراجر, العيص, Saudi Arabia</v>
      </c>
      <c r="K639" s="18">
        <v>25.103703</v>
      </c>
      <c r="L639" s="18">
        <v>38.5</v>
      </c>
      <c r="M639" s="18">
        <v>2000</v>
      </c>
      <c r="N639" s="18" t="s">
        <v>642</v>
      </c>
    </row>
    <row r="640" ht="15" customHeight="1" spans="1:14" x14ac:dyDescent="0.25">
      <c r="A640" s="11" t="s">
        <v>1846</v>
      </c>
      <c r="B640" s="11">
        <v>3</v>
      </c>
      <c r="C640" s="12" t="s">
        <v>51</v>
      </c>
      <c r="D640" s="11" t="s">
        <v>256</v>
      </c>
      <c r="E640" s="12" t="s">
        <v>257</v>
      </c>
      <c r="F640" s="12" t="s">
        <v>1847</v>
      </c>
      <c r="G640" s="11" t="s">
        <v>113</v>
      </c>
      <c r="H640" s="18" t="str">
        <f>IFERROR(INDEX('المحافظات Governorates'!$E$2:$E$151,MATCH(D640,'المحافظات Governorates'!$A$2:$A$151,0)),"")</f>
        <v>Al-Ais</v>
      </c>
      <c r="I640" s="18" t="str">
        <f>IFERROR(INDEX('المناطق Regions'!$C$2:$C$15,MATCH(B640,'المناطق Regions'!$A$2:$A$15,0)),"")</f>
        <v>Madinah Al-Munawwarah</v>
      </c>
      <c r="J640" s="18" t="str">
        <f>F640&amp;", "&amp;E640&amp;", Saudi Arabia"</f>
        <v>المرامية, العيص, Saudi Arabia</v>
      </c>
      <c r="K640" s="18">
        <v>25.633296</v>
      </c>
      <c r="L640" s="18">
        <v>37.871933</v>
      </c>
      <c r="M640" s="18">
        <v>2000</v>
      </c>
      <c r="N640" s="18" t="s">
        <v>642</v>
      </c>
    </row>
    <row r="641" ht="15" customHeight="1" spans="1:14" x14ac:dyDescent="0.25">
      <c r="A641" s="13" t="s">
        <v>1848</v>
      </c>
      <c r="B641" s="13">
        <v>3</v>
      </c>
      <c r="C641" s="14" t="s">
        <v>51</v>
      </c>
      <c r="D641" s="13" t="s">
        <v>256</v>
      </c>
      <c r="E641" s="14" t="s">
        <v>257</v>
      </c>
      <c r="F641" s="14" t="s">
        <v>1849</v>
      </c>
      <c r="G641" s="13" t="s">
        <v>149</v>
      </c>
      <c r="H641" s="18" t="str">
        <f>IFERROR(INDEX('المحافظات Governorates'!$E$2:$E$151,MATCH(D641,'المحافظات Governorates'!$A$2:$A$151,0)),"")</f>
        <v>Al-Ais</v>
      </c>
      <c r="I641" s="18" t="str">
        <f>IFERROR(INDEX('المناطق Regions'!$C$2:$C$15,MATCH(B641,'المناطق Regions'!$A$2:$A$15,0)),"")</f>
        <v>Madinah Al-Munawwarah</v>
      </c>
      <c r="J641" s="18" t="str">
        <f>F641&amp;", "&amp;E641&amp;", Saudi Arabia"</f>
        <v>اميره, العيص, Saudi Arabia</v>
      </c>
      <c r="K641" s="18">
        <v>25.35098</v>
      </c>
      <c r="L641" s="18">
        <v>38.346284</v>
      </c>
      <c r="M641" s="18">
        <v>95875</v>
      </c>
      <c r="N641" s="18" t="s">
        <v>1850</v>
      </c>
    </row>
    <row r="642" ht="15" customHeight="1" spans="1:14" x14ac:dyDescent="0.25">
      <c r="A642" s="11" t="s">
        <v>1851</v>
      </c>
      <c r="B642" s="11">
        <v>3</v>
      </c>
      <c r="C642" s="12" t="s">
        <v>51</v>
      </c>
      <c r="D642" s="11" t="s">
        <v>256</v>
      </c>
      <c r="E642" s="12" t="s">
        <v>257</v>
      </c>
      <c r="F642" s="12" t="s">
        <v>1852</v>
      </c>
      <c r="G642" s="11" t="s">
        <v>113</v>
      </c>
      <c r="H642" s="18" t="str">
        <f>IFERROR(INDEX('المحافظات Governorates'!$E$2:$E$151,MATCH(D642,'المحافظات Governorates'!$A$2:$A$151,0)),"")</f>
        <v>Al-Ais</v>
      </c>
      <c r="I642" s="18" t="str">
        <f>IFERROR(INDEX('المناطق Regions'!$C$2:$C$15,MATCH(B642,'المناطق Regions'!$A$2:$A$15,0)),"")</f>
        <v>Madinah Al-Munawwarah</v>
      </c>
      <c r="J642" s="18" t="str">
        <f>F642&amp;", "&amp;E642&amp;", Saudi Arabia"</f>
        <v>الهجر الثلاث, العيص, Saudi Arabia</v>
      </c>
      <c r="K642" s="18">
        <v>25.35098</v>
      </c>
      <c r="L642" s="18">
        <v>38.346284</v>
      </c>
      <c r="M642" s="18">
        <v>95875</v>
      </c>
      <c r="N642" s="18" t="s">
        <v>1850</v>
      </c>
    </row>
    <row r="643" ht="15" customHeight="1" spans="1:14" x14ac:dyDescent="0.25">
      <c r="A643" s="13" t="s">
        <v>1853</v>
      </c>
      <c r="B643" s="13">
        <v>3</v>
      </c>
      <c r="C643" s="14" t="s">
        <v>51</v>
      </c>
      <c r="D643" s="13" t="s">
        <v>256</v>
      </c>
      <c r="E643" s="14" t="s">
        <v>257</v>
      </c>
      <c r="F643" s="14" t="s">
        <v>1854</v>
      </c>
      <c r="G643" s="13" t="s">
        <v>149</v>
      </c>
      <c r="H643" s="18" t="str">
        <f>IFERROR(INDEX('المحافظات Governorates'!$E$2:$E$151,MATCH(D643,'المحافظات Governorates'!$A$2:$A$151,0)),"")</f>
        <v>Al-Ais</v>
      </c>
      <c r="I643" s="18" t="str">
        <f>IFERROR(INDEX('المناطق Regions'!$C$2:$C$15,MATCH(B643,'المناطق Regions'!$A$2:$A$15,0)),"")</f>
        <v>Madinah Al-Munawwarah</v>
      </c>
      <c r="J643" s="18" t="str">
        <f>F643&amp;", "&amp;E643&amp;", Saudi Arabia"</f>
        <v>السليله, العيص, Saudi Arabia</v>
      </c>
      <c r="K643" s="18">
        <v>25.35098</v>
      </c>
      <c r="L643" s="18">
        <v>38.346284</v>
      </c>
      <c r="M643" s="18">
        <v>95875</v>
      </c>
      <c r="N643" s="18" t="s">
        <v>1850</v>
      </c>
    </row>
    <row r="644" ht="15" customHeight="1" spans="1:14" x14ac:dyDescent="0.25">
      <c r="A644" s="11" t="s">
        <v>1855</v>
      </c>
      <c r="B644" s="11">
        <v>3</v>
      </c>
      <c r="C644" s="12" t="s">
        <v>51</v>
      </c>
      <c r="D644" s="11" t="s">
        <v>256</v>
      </c>
      <c r="E644" s="12" t="s">
        <v>257</v>
      </c>
      <c r="F644" s="12" t="s">
        <v>1856</v>
      </c>
      <c r="G644" s="11" t="s">
        <v>113</v>
      </c>
      <c r="H644" s="18" t="str">
        <f>IFERROR(INDEX('المحافظات Governorates'!$E$2:$E$151,MATCH(D644,'المحافظات Governorates'!$A$2:$A$151,0)),"")</f>
        <v>Al-Ais</v>
      </c>
      <c r="I644" s="18" t="str">
        <f>IFERROR(INDEX('المناطق Regions'!$C$2:$C$15,MATCH(B644,'المناطق Regions'!$A$2:$A$15,0)),"")</f>
        <v>Madinah Al-Munawwarah</v>
      </c>
      <c r="J644" s="18" t="str">
        <f>F644&amp;", "&amp;E644&amp;", Saudi Arabia"</f>
        <v>الابرق, العيص, Saudi Arabia</v>
      </c>
      <c r="K644" s="18">
        <v>25.35098</v>
      </c>
      <c r="L644" s="18">
        <v>38.346284</v>
      </c>
      <c r="M644" s="18">
        <v>95875</v>
      </c>
      <c r="N644" s="18" t="s">
        <v>1850</v>
      </c>
    </row>
    <row r="645" ht="15" customHeight="1" spans="1:14" x14ac:dyDescent="0.25">
      <c r="A645" s="13" t="s">
        <v>1857</v>
      </c>
      <c r="B645" s="13">
        <v>3</v>
      </c>
      <c r="C645" s="14" t="s">
        <v>51</v>
      </c>
      <c r="D645" s="13" t="s">
        <v>256</v>
      </c>
      <c r="E645" s="14" t="s">
        <v>257</v>
      </c>
      <c r="F645" s="14" t="s">
        <v>1858</v>
      </c>
      <c r="G645" s="13" t="s">
        <v>149</v>
      </c>
      <c r="H645" s="18" t="str">
        <f>IFERROR(INDEX('المحافظات Governorates'!$E$2:$E$151,MATCH(D645,'المحافظات Governorates'!$A$2:$A$151,0)),"")</f>
        <v>Al-Ais</v>
      </c>
      <c r="I645" s="18" t="str">
        <f>IFERROR(INDEX('المناطق Regions'!$C$2:$C$15,MATCH(B645,'المناطق Regions'!$A$2:$A$15,0)),"")</f>
        <v>Madinah Al-Munawwarah</v>
      </c>
      <c r="J645" s="18" t="str">
        <f>F645&amp;", "&amp;E645&amp;", Saudi Arabia"</f>
        <v>البديع, العيص, Saudi Arabia</v>
      </c>
      <c r="K645" s="18">
        <v>25.307039</v>
      </c>
      <c r="L645" s="18">
        <v>38.283927</v>
      </c>
      <c r="M645" s="18">
        <v>2000</v>
      </c>
      <c r="N645" s="18" t="s">
        <v>642</v>
      </c>
    </row>
    <row r="646" ht="15" customHeight="1" spans="1:14" x14ac:dyDescent="0.25">
      <c r="A646" s="11" t="s">
        <v>1859</v>
      </c>
      <c r="B646" s="11">
        <v>3</v>
      </c>
      <c r="C646" s="12" t="s">
        <v>51</v>
      </c>
      <c r="D646" s="11" t="s">
        <v>256</v>
      </c>
      <c r="E646" s="12" t="s">
        <v>257</v>
      </c>
      <c r="F646" s="12" t="s">
        <v>1860</v>
      </c>
      <c r="G646" s="11" t="s">
        <v>149</v>
      </c>
      <c r="H646" s="18" t="str">
        <f>IFERROR(INDEX('المحافظات Governorates'!$E$2:$E$151,MATCH(D646,'المحافظات Governorates'!$A$2:$A$151,0)),"")</f>
        <v>Al-Ais</v>
      </c>
      <c r="I646" s="18" t="str">
        <f>IFERROR(INDEX('المناطق Regions'!$C$2:$C$15,MATCH(B646,'المناطق Regions'!$A$2:$A$15,0)),"")</f>
        <v>Madinah Al-Munawwarah</v>
      </c>
      <c r="J646" s="18" t="str">
        <f>F646&amp;", "&amp;E646&amp;", Saudi Arabia"</f>
        <v>المثلث, العيص, Saudi Arabia</v>
      </c>
      <c r="K646" s="18">
        <v>24.792985</v>
      </c>
      <c r="L646" s="18">
        <v>38.34368</v>
      </c>
      <c r="M646" s="18">
        <v>2000</v>
      </c>
      <c r="N646" s="18" t="s">
        <v>642</v>
      </c>
    </row>
    <row r="647" ht="15" customHeight="1" spans="1:14" x14ac:dyDescent="0.25">
      <c r="A647" s="13" t="s">
        <v>1861</v>
      </c>
      <c r="B647" s="13">
        <v>4</v>
      </c>
      <c r="C647" s="14" t="s">
        <v>55</v>
      </c>
      <c r="D647" s="13" t="s">
        <v>259</v>
      </c>
      <c r="E647" s="14" t="s">
        <v>260</v>
      </c>
      <c r="F647" s="14" t="s">
        <v>1862</v>
      </c>
      <c r="G647" s="13" t="s">
        <v>113</v>
      </c>
      <c r="H647" s="18" t="str">
        <f>IFERROR(INDEX('المحافظات Governorates'!$E$2:$E$151,MATCH(D647,'المحافظات Governorates'!$A$2:$A$151,0)),"")</f>
        <v>Buraydah</v>
      </c>
      <c r="I647" s="18" t="str">
        <f>IFERROR(INDEX('المناطق Regions'!$C$2:$C$15,MATCH(B647,'المناطق Regions'!$A$2:$A$15,0)),"")</f>
        <v>Al-Qassim</v>
      </c>
      <c r="J647" s="18" t="str">
        <f>F647&amp;", "&amp;E647&amp;", Saudi Arabia"</f>
        <v>الشقة, بريده, Saudi Arabia</v>
      </c>
      <c r="K647" s="18">
        <v>26.378766</v>
      </c>
      <c r="L647" s="18">
        <v>43.836294</v>
      </c>
      <c r="M647" s="18">
        <v>2000</v>
      </c>
      <c r="N647" s="18" t="s">
        <v>562</v>
      </c>
    </row>
    <row r="648" ht="15" customHeight="1" spans="1:14" x14ac:dyDescent="0.25">
      <c r="A648" s="11" t="s">
        <v>1863</v>
      </c>
      <c r="B648" s="11">
        <v>4</v>
      </c>
      <c r="C648" s="12" t="s">
        <v>55</v>
      </c>
      <c r="D648" s="11" t="s">
        <v>259</v>
      </c>
      <c r="E648" s="12" t="s">
        <v>260</v>
      </c>
      <c r="F648" s="12" t="s">
        <v>1864</v>
      </c>
      <c r="G648" s="11" t="s">
        <v>113</v>
      </c>
      <c r="H648" s="18" t="str">
        <f>IFERROR(INDEX('المحافظات Governorates'!$E$2:$E$151,MATCH(D648,'المحافظات Governorates'!$A$2:$A$151,0)),"")</f>
        <v>Buraydah</v>
      </c>
      <c r="I648" s="18" t="str">
        <f>IFERROR(INDEX('المناطق Regions'!$C$2:$C$15,MATCH(B648,'المناطق Regions'!$A$2:$A$15,0)),"")</f>
        <v>Al-Qassim</v>
      </c>
      <c r="J648" s="18" t="str">
        <f>F648&amp;", "&amp;E648&amp;", Saudi Arabia"</f>
        <v>البصر, بريده, Saudi Arabia</v>
      </c>
      <c r="K648" s="18">
        <v>26.283322</v>
      </c>
      <c r="L648" s="18">
        <v>43.867879</v>
      </c>
      <c r="M648" s="18">
        <v>2000</v>
      </c>
      <c r="N648" s="18" t="s">
        <v>562</v>
      </c>
    </row>
    <row r="649" ht="15" customHeight="1" spans="1:14" x14ac:dyDescent="0.25">
      <c r="A649" s="13" t="s">
        <v>1865</v>
      </c>
      <c r="B649" s="13">
        <v>4</v>
      </c>
      <c r="C649" s="14" t="s">
        <v>55</v>
      </c>
      <c r="D649" s="13" t="s">
        <v>259</v>
      </c>
      <c r="E649" s="14" t="s">
        <v>260</v>
      </c>
      <c r="F649" s="14" t="s">
        <v>1866</v>
      </c>
      <c r="G649" s="13" t="s">
        <v>113</v>
      </c>
      <c r="H649" s="18" t="str">
        <f>IFERROR(INDEX('المحافظات Governorates'!$E$2:$E$151,MATCH(D649,'المحافظات Governorates'!$A$2:$A$151,0)),"")</f>
        <v>Buraydah</v>
      </c>
      <c r="I649" s="18" t="str">
        <f>IFERROR(INDEX('المناطق Regions'!$C$2:$C$15,MATCH(B649,'المناطق Regions'!$A$2:$A$15,0)),"")</f>
        <v>Al-Qassim</v>
      </c>
      <c r="J649" s="18" t="str">
        <f>F649&amp;", "&amp;E649&amp;", Saudi Arabia"</f>
        <v>البطين, بريده, Saudi Arabia</v>
      </c>
      <c r="K649" s="18">
        <v>26.459739</v>
      </c>
      <c r="L649" s="18">
        <v>43.963721</v>
      </c>
      <c r="M649" s="18">
        <v>2000</v>
      </c>
      <c r="N649" s="18" t="s">
        <v>562</v>
      </c>
    </row>
    <row r="650" ht="15" customHeight="1" spans="1:14" x14ac:dyDescent="0.25">
      <c r="A650" s="11" t="s">
        <v>1867</v>
      </c>
      <c r="B650" s="11">
        <v>4</v>
      </c>
      <c r="C650" s="12" t="s">
        <v>55</v>
      </c>
      <c r="D650" s="11" t="s">
        <v>259</v>
      </c>
      <c r="E650" s="12" t="s">
        <v>260</v>
      </c>
      <c r="F650" s="12" t="s">
        <v>1868</v>
      </c>
      <c r="G650" s="11" t="s">
        <v>113</v>
      </c>
      <c r="H650" s="18" t="str">
        <f>IFERROR(INDEX('المحافظات Governorates'!$E$2:$E$151,MATCH(D650,'المحافظات Governorates'!$A$2:$A$151,0)),"")</f>
        <v>Buraydah</v>
      </c>
      <c r="I650" s="18" t="str">
        <f>IFERROR(INDEX('المناطق Regions'!$C$2:$C$15,MATCH(B650,'المناطق Regions'!$A$2:$A$15,0)),"")</f>
        <v>Al-Qassim</v>
      </c>
      <c r="J650" s="18" t="str">
        <f>F650&amp;", "&amp;E650&amp;", Saudi Arabia"</f>
        <v>الفواره, بريده, Saudi Arabia</v>
      </c>
      <c r="K650" s="18">
        <v>26.059822</v>
      </c>
      <c r="L650" s="18">
        <v>42.660148</v>
      </c>
      <c r="M650" s="18">
        <v>2000</v>
      </c>
      <c r="N650" s="18" t="s">
        <v>562</v>
      </c>
    </row>
    <row r="651" ht="15" customHeight="1" spans="1:14" x14ac:dyDescent="0.25">
      <c r="A651" s="13" t="s">
        <v>1869</v>
      </c>
      <c r="B651" s="13">
        <v>4</v>
      </c>
      <c r="C651" s="14" t="s">
        <v>55</v>
      </c>
      <c r="D651" s="13" t="s">
        <v>259</v>
      </c>
      <c r="E651" s="14" t="s">
        <v>260</v>
      </c>
      <c r="F651" s="14" t="s">
        <v>1870</v>
      </c>
      <c r="G651" s="13" t="s">
        <v>113</v>
      </c>
      <c r="H651" s="18" t="str">
        <f>IFERROR(INDEX('المحافظات Governorates'!$E$2:$E$151,MATCH(D651,'المحافظات Governorates'!$A$2:$A$151,0)),"")</f>
        <v>Buraydah</v>
      </c>
      <c r="I651" s="18" t="str">
        <f>IFERROR(INDEX('المناطق Regions'!$C$2:$C$15,MATCH(B651,'المناطق Regions'!$A$2:$A$15,0)),"")</f>
        <v>Al-Qassim</v>
      </c>
      <c r="J651" s="18" t="str">
        <f>F651&amp;", "&amp;E651&amp;", Saudi Arabia"</f>
        <v>القرعاء, بريده, Saudi Arabia</v>
      </c>
      <c r="K651" s="18">
        <v>26.40663</v>
      </c>
      <c r="L651" s="18">
        <v>43.758185</v>
      </c>
      <c r="M651" s="18">
        <v>2000</v>
      </c>
      <c r="N651" s="18" t="s">
        <v>562</v>
      </c>
    </row>
    <row r="652" ht="15" customHeight="1" spans="1:14" x14ac:dyDescent="0.25">
      <c r="A652" s="11" t="s">
        <v>1871</v>
      </c>
      <c r="B652" s="11">
        <v>4</v>
      </c>
      <c r="C652" s="12" t="s">
        <v>55</v>
      </c>
      <c r="D652" s="11" t="s">
        <v>259</v>
      </c>
      <c r="E652" s="12" t="s">
        <v>260</v>
      </c>
      <c r="F652" s="12" t="s">
        <v>1872</v>
      </c>
      <c r="G652" s="11" t="s">
        <v>113</v>
      </c>
      <c r="H652" s="18" t="str">
        <f>IFERROR(INDEX('المحافظات Governorates'!$E$2:$E$151,MATCH(D652,'المحافظات Governorates'!$A$2:$A$151,0)),"")</f>
        <v>Buraydah</v>
      </c>
      <c r="I652" s="18" t="str">
        <f>IFERROR(INDEX('المناطق Regions'!$C$2:$C$15,MATCH(B652,'المناطق Regions'!$A$2:$A$15,0)),"")</f>
        <v>Al-Qassim</v>
      </c>
      <c r="J652" s="18" t="str">
        <f>F652&amp;", "&amp;E652&amp;", Saudi Arabia"</f>
        <v>الطرفيه الشرقيه, بريده, Saudi Arabia</v>
      </c>
      <c r="K652" s="18">
        <v>26.867788</v>
      </c>
      <c r="L652" s="18">
        <v>43.703422</v>
      </c>
      <c r="M652" s="18">
        <v>179573</v>
      </c>
      <c r="N652" s="18" t="s">
        <v>1873</v>
      </c>
    </row>
    <row r="653" ht="15" customHeight="1" spans="1:14" x14ac:dyDescent="0.25">
      <c r="A653" s="13" t="s">
        <v>1874</v>
      </c>
      <c r="B653" s="13">
        <v>4</v>
      </c>
      <c r="C653" s="14" t="s">
        <v>55</v>
      </c>
      <c r="D653" s="13" t="s">
        <v>259</v>
      </c>
      <c r="E653" s="14" t="s">
        <v>260</v>
      </c>
      <c r="F653" s="14" t="s">
        <v>1875</v>
      </c>
      <c r="G653" s="13" t="s">
        <v>113</v>
      </c>
      <c r="H653" s="18" t="str">
        <f>IFERROR(INDEX('المحافظات Governorates'!$E$2:$E$151,MATCH(D653,'المحافظات Governorates'!$A$2:$A$151,0)),"")</f>
        <v>Buraydah</v>
      </c>
      <c r="I653" s="18" t="str">
        <f>IFERROR(INDEX('المناطق Regions'!$C$2:$C$15,MATCH(B653,'المناطق Regions'!$A$2:$A$15,0)),"")</f>
        <v>Al-Qassim</v>
      </c>
      <c r="J653" s="18" t="str">
        <f>F653&amp;", "&amp;E653&amp;", Saudi Arabia"</f>
        <v>قصيباء, بريده, Saudi Arabia</v>
      </c>
      <c r="K653" s="18">
        <v>26.887446</v>
      </c>
      <c r="L653" s="18">
        <v>43.636258</v>
      </c>
      <c r="M653" s="18">
        <v>2000</v>
      </c>
      <c r="N653" s="18" t="s">
        <v>562</v>
      </c>
    </row>
    <row r="654" ht="15" customHeight="1" spans="1:14" x14ac:dyDescent="0.25">
      <c r="A654" s="11" t="s">
        <v>1876</v>
      </c>
      <c r="B654" s="11">
        <v>4</v>
      </c>
      <c r="C654" s="12" t="s">
        <v>55</v>
      </c>
      <c r="D654" s="11" t="s">
        <v>259</v>
      </c>
      <c r="E654" s="12" t="s">
        <v>260</v>
      </c>
      <c r="F654" s="12" t="s">
        <v>1877</v>
      </c>
      <c r="G654" s="11" t="s">
        <v>113</v>
      </c>
      <c r="H654" s="18" t="str">
        <f>IFERROR(INDEX('المحافظات Governorates'!$E$2:$E$151,MATCH(D654,'المحافظات Governorates'!$A$2:$A$151,0)),"")</f>
        <v>Buraydah</v>
      </c>
      <c r="I654" s="18" t="str">
        <f>IFERROR(INDEX('المناطق Regions'!$C$2:$C$15,MATCH(B654,'المناطق Regions'!$A$2:$A$15,0)),"")</f>
        <v>Al-Qassim</v>
      </c>
      <c r="J654" s="18" t="str">
        <f>F654&amp;", "&amp;E654&amp;", Saudi Arabia"</f>
        <v>المدرج, بريده, Saudi Arabia</v>
      </c>
      <c r="K654" s="18">
        <v>27.217334</v>
      </c>
      <c r="L654" s="18">
        <v>43.718333</v>
      </c>
      <c r="M654" s="18">
        <v>2000</v>
      </c>
      <c r="N654" s="18" t="s">
        <v>562</v>
      </c>
    </row>
    <row r="655" ht="15" customHeight="1" spans="1:14" x14ac:dyDescent="0.25">
      <c r="A655" s="13" t="s">
        <v>1878</v>
      </c>
      <c r="B655" s="13">
        <v>4</v>
      </c>
      <c r="C655" s="14" t="s">
        <v>55</v>
      </c>
      <c r="D655" s="13" t="s">
        <v>259</v>
      </c>
      <c r="E655" s="14" t="s">
        <v>260</v>
      </c>
      <c r="F655" s="14" t="s">
        <v>1879</v>
      </c>
      <c r="G655" s="13" t="s">
        <v>113</v>
      </c>
      <c r="H655" s="18" t="str">
        <f>IFERROR(INDEX('المحافظات Governorates'!$E$2:$E$151,MATCH(D655,'المحافظات Governorates'!$A$2:$A$151,0)),"")</f>
        <v>Buraydah</v>
      </c>
      <c r="I655" s="18" t="str">
        <f>IFERROR(INDEX('المناطق Regions'!$C$2:$C$15,MATCH(B655,'المناطق Regions'!$A$2:$A$15,0)),"")</f>
        <v>Al-Qassim</v>
      </c>
      <c r="J655" s="18" t="str">
        <f>F655&amp;", "&amp;E655&amp;", Saudi Arabia"</f>
        <v>محير الترمس, بريده, Saudi Arabia</v>
      </c>
      <c r="K655" s="18">
        <v>27.363851</v>
      </c>
      <c r="L655" s="18">
        <v>43.60571</v>
      </c>
      <c r="M655" s="18">
        <v>2000</v>
      </c>
      <c r="N655" s="18" t="s">
        <v>562</v>
      </c>
    </row>
    <row r="656" ht="15" customHeight="1" spans="1:14" x14ac:dyDescent="0.25">
      <c r="A656" s="11" t="s">
        <v>1880</v>
      </c>
      <c r="B656" s="11">
        <v>4</v>
      </c>
      <c r="C656" s="12" t="s">
        <v>55</v>
      </c>
      <c r="D656" s="11" t="s">
        <v>259</v>
      </c>
      <c r="E656" s="12" t="s">
        <v>260</v>
      </c>
      <c r="F656" s="12" t="s">
        <v>1881</v>
      </c>
      <c r="G656" s="11" t="s">
        <v>113</v>
      </c>
      <c r="H656" s="18" t="str">
        <f>IFERROR(INDEX('المحافظات Governorates'!$E$2:$E$151,MATCH(D656,'المحافظات Governorates'!$A$2:$A$151,0)),"")</f>
        <v>Buraydah</v>
      </c>
      <c r="I656" s="18" t="str">
        <f>IFERROR(INDEX('المناطق Regions'!$C$2:$C$15,MATCH(B656,'المناطق Regions'!$A$2:$A$15,0)),"")</f>
        <v>Al-Qassim</v>
      </c>
      <c r="J656" s="18" t="str">
        <f>F656&amp;", "&amp;E656&amp;", Saudi Arabia"</f>
        <v>شرى, بريده, Saudi Arabia</v>
      </c>
      <c r="K656" s="18">
        <v>27.256485</v>
      </c>
      <c r="L656" s="18">
        <v>43.400979</v>
      </c>
      <c r="M656" s="18">
        <v>2000</v>
      </c>
      <c r="N656" s="18" t="s">
        <v>562</v>
      </c>
    </row>
    <row r="657" ht="15" customHeight="1" spans="1:14" x14ac:dyDescent="0.25">
      <c r="A657" s="13" t="s">
        <v>1882</v>
      </c>
      <c r="B657" s="13">
        <v>4</v>
      </c>
      <c r="C657" s="14" t="s">
        <v>55</v>
      </c>
      <c r="D657" s="13" t="s">
        <v>259</v>
      </c>
      <c r="E657" s="14" t="s">
        <v>260</v>
      </c>
      <c r="F657" s="14" t="s">
        <v>1883</v>
      </c>
      <c r="G657" s="13" t="s">
        <v>113</v>
      </c>
      <c r="H657" s="18" t="str">
        <f>IFERROR(INDEX('المحافظات Governorates'!$E$2:$E$151,MATCH(D657,'المحافظات Governorates'!$A$2:$A$151,0)),"")</f>
        <v>Buraydah</v>
      </c>
      <c r="I657" s="18" t="str">
        <f>IFERROR(INDEX('المناطق Regions'!$C$2:$C$15,MATCH(B657,'المناطق Regions'!$A$2:$A$15,0)),"")</f>
        <v>Al-Qassim</v>
      </c>
      <c r="J657" s="18" t="str">
        <f>F657&amp;", "&amp;E657&amp;", Saudi Arabia"</f>
        <v>الشبيكيه, بريده, Saudi Arabia</v>
      </c>
      <c r="K657" s="18">
        <v>25.254557</v>
      </c>
      <c r="L657" s="18">
        <v>43.285466</v>
      </c>
      <c r="M657" s="18">
        <v>2000</v>
      </c>
      <c r="N657" s="18" t="s">
        <v>562</v>
      </c>
    </row>
    <row r="658" ht="15" customHeight="1" spans="1:14" x14ac:dyDescent="0.25">
      <c r="A658" s="11" t="s">
        <v>1884</v>
      </c>
      <c r="B658" s="11">
        <v>4</v>
      </c>
      <c r="C658" s="12" t="s">
        <v>55</v>
      </c>
      <c r="D658" s="11" t="s">
        <v>259</v>
      </c>
      <c r="E658" s="12" t="s">
        <v>260</v>
      </c>
      <c r="F658" s="12" t="s">
        <v>1885</v>
      </c>
      <c r="G658" s="11" t="s">
        <v>113</v>
      </c>
      <c r="H658" s="18" t="str">
        <f>IFERROR(INDEX('المحافظات Governorates'!$E$2:$E$151,MATCH(D658,'المحافظات Governorates'!$A$2:$A$151,0)),"")</f>
        <v>Buraydah</v>
      </c>
      <c r="I658" s="18" t="str">
        <f>IFERROR(INDEX('المناطق Regions'!$C$2:$C$15,MATCH(B658,'المناطق Regions'!$A$2:$A$15,0)),"")</f>
        <v>Al-Qassim</v>
      </c>
      <c r="J658" s="18" t="str">
        <f>F658&amp;", "&amp;E658&amp;", Saudi Arabia"</f>
        <v>الخشيبى, بريده, Saudi Arabia</v>
      </c>
      <c r="K658" s="18">
        <v>25.563611</v>
      </c>
      <c r="L658" s="18">
        <v>43.352778</v>
      </c>
      <c r="M658" s="18">
        <v>2000</v>
      </c>
      <c r="N658" s="18" t="s">
        <v>562</v>
      </c>
    </row>
    <row r="659" ht="15" customHeight="1" spans="1:14" x14ac:dyDescent="0.25">
      <c r="A659" s="13" t="s">
        <v>1886</v>
      </c>
      <c r="B659" s="13">
        <v>4</v>
      </c>
      <c r="C659" s="14" t="s">
        <v>55</v>
      </c>
      <c r="D659" s="13" t="s">
        <v>259</v>
      </c>
      <c r="E659" s="14" t="s">
        <v>260</v>
      </c>
      <c r="F659" s="14" t="s">
        <v>1887</v>
      </c>
      <c r="G659" s="13" t="s">
        <v>113</v>
      </c>
      <c r="H659" s="18" t="str">
        <f>IFERROR(INDEX('المحافظات Governorates'!$E$2:$E$151,MATCH(D659,'المحافظات Governorates'!$A$2:$A$151,0)),"")</f>
        <v>Buraydah</v>
      </c>
      <c r="I659" s="18" t="str">
        <f>IFERROR(INDEX('المناطق Regions'!$C$2:$C$15,MATCH(B659,'المناطق Regions'!$A$2:$A$15,0)),"")</f>
        <v>Al-Qassim</v>
      </c>
      <c r="J659" s="18" t="str">
        <f>F659&amp;", "&amp;E659&amp;", Saudi Arabia"</f>
        <v>الربيعيه, بريده, Saudi Arabia</v>
      </c>
      <c r="K659" s="18">
        <v>26.375547</v>
      </c>
      <c r="L659" s="18">
        <v>44.236104</v>
      </c>
      <c r="M659" s="18">
        <v>2000</v>
      </c>
      <c r="N659" s="18" t="s">
        <v>562</v>
      </c>
    </row>
    <row r="660" ht="15" customHeight="1" spans="1:14" x14ac:dyDescent="0.25">
      <c r="A660" s="11" t="s">
        <v>1888</v>
      </c>
      <c r="B660" s="11">
        <v>4</v>
      </c>
      <c r="C660" s="12" t="s">
        <v>55</v>
      </c>
      <c r="D660" s="11" t="s">
        <v>259</v>
      </c>
      <c r="E660" s="12" t="s">
        <v>260</v>
      </c>
      <c r="F660" s="12" t="s">
        <v>1889</v>
      </c>
      <c r="G660" s="11" t="s">
        <v>149</v>
      </c>
      <c r="H660" s="18" t="str">
        <f>IFERROR(INDEX('المحافظات Governorates'!$E$2:$E$151,MATCH(D660,'المحافظات Governorates'!$A$2:$A$151,0)),"")</f>
        <v>Buraydah</v>
      </c>
      <c r="I660" s="18" t="str">
        <f>IFERROR(INDEX('المناطق Regions'!$C$2:$C$15,MATCH(B660,'المناطق Regions'!$A$2:$A$15,0)),"")</f>
        <v>Al-Qassim</v>
      </c>
      <c r="J660" s="18" t="str">
        <f>F660&amp;", "&amp;E660&amp;", Saudi Arabia"</f>
        <v>الدعيسه, بريده, Saudi Arabia</v>
      </c>
      <c r="K660" s="18">
        <v>26.867788</v>
      </c>
      <c r="L660" s="18">
        <v>43.703422</v>
      </c>
      <c r="M660" s="18">
        <v>179573</v>
      </c>
      <c r="N660" s="18" t="s">
        <v>1873</v>
      </c>
    </row>
    <row r="661" ht="15" customHeight="1" spans="1:14" x14ac:dyDescent="0.25">
      <c r="A661" s="13" t="s">
        <v>1890</v>
      </c>
      <c r="B661" s="13">
        <v>4</v>
      </c>
      <c r="C661" s="14" t="s">
        <v>55</v>
      </c>
      <c r="D661" s="13" t="s">
        <v>259</v>
      </c>
      <c r="E661" s="14" t="s">
        <v>260</v>
      </c>
      <c r="F661" s="14" t="s">
        <v>1891</v>
      </c>
      <c r="G661" s="13" t="s">
        <v>113</v>
      </c>
      <c r="H661" s="18" t="str">
        <f>IFERROR(INDEX('المحافظات Governorates'!$E$2:$E$151,MATCH(D661,'المحافظات Governorates'!$A$2:$A$151,0)),"")</f>
        <v>Buraydah</v>
      </c>
      <c r="I661" s="18" t="str">
        <f>IFERROR(INDEX('المناطق Regions'!$C$2:$C$15,MATCH(B661,'المناطق Regions'!$A$2:$A$15,0)),"")</f>
        <v>Al-Qassim</v>
      </c>
      <c r="J661" s="18" t="str">
        <f>F661&amp;", "&amp;E661&amp;", Saudi Arabia"</f>
        <v>المليداء, بريده, Saudi Arabia</v>
      </c>
      <c r="K661" s="18">
        <v>26.318283</v>
      </c>
      <c r="L661" s="18">
        <v>43.78076</v>
      </c>
      <c r="M661" s="18">
        <v>2000</v>
      </c>
      <c r="N661" s="18" t="s">
        <v>562</v>
      </c>
    </row>
    <row r="662" ht="15" customHeight="1" spans="1:14" x14ac:dyDescent="0.25">
      <c r="A662" s="11" t="s">
        <v>1892</v>
      </c>
      <c r="B662" s="11">
        <v>4</v>
      </c>
      <c r="C662" s="12" t="s">
        <v>55</v>
      </c>
      <c r="D662" s="11" t="s">
        <v>259</v>
      </c>
      <c r="E662" s="12" t="s">
        <v>260</v>
      </c>
      <c r="F662" s="12" t="s">
        <v>1893</v>
      </c>
      <c r="G662" s="11" t="s">
        <v>149</v>
      </c>
      <c r="H662" s="18" t="str">
        <f>IFERROR(INDEX('المحافظات Governorates'!$E$2:$E$151,MATCH(D662,'المحافظات Governorates'!$A$2:$A$151,0)),"")</f>
        <v>Buraydah</v>
      </c>
      <c r="I662" s="18" t="str">
        <f>IFERROR(INDEX('المناطق Regions'!$C$2:$C$15,MATCH(B662,'المناطق Regions'!$A$2:$A$15,0)),"")</f>
        <v>Al-Qassim</v>
      </c>
      <c r="J662" s="18" t="str">
        <f>F662&amp;", "&amp;E662&amp;", Saudi Arabia"</f>
        <v>الغماس, بريده, Saudi Arabia</v>
      </c>
      <c r="K662" s="18">
        <v>26.232551</v>
      </c>
      <c r="L662" s="18">
        <v>43.889494</v>
      </c>
      <c r="M662" s="18">
        <v>2000</v>
      </c>
      <c r="N662" s="18" t="s">
        <v>562</v>
      </c>
    </row>
    <row r="663" ht="15" customHeight="1" spans="1:14" x14ac:dyDescent="0.25">
      <c r="A663" s="13" t="s">
        <v>1894</v>
      </c>
      <c r="B663" s="13">
        <v>4</v>
      </c>
      <c r="C663" s="14" t="s">
        <v>55</v>
      </c>
      <c r="D663" s="13" t="s">
        <v>259</v>
      </c>
      <c r="E663" s="14" t="s">
        <v>260</v>
      </c>
      <c r="F663" s="14" t="s">
        <v>1895</v>
      </c>
      <c r="G663" s="13" t="s">
        <v>149</v>
      </c>
      <c r="H663" s="18" t="str">
        <f>IFERROR(INDEX('المحافظات Governorates'!$E$2:$E$151,MATCH(D663,'المحافظات Governorates'!$A$2:$A$151,0)),"")</f>
        <v>Buraydah</v>
      </c>
      <c r="I663" s="18" t="str">
        <f>IFERROR(INDEX('المناطق Regions'!$C$2:$C$15,MATCH(B663,'المناطق Regions'!$A$2:$A$15,0)),"")</f>
        <v>Al-Qassim</v>
      </c>
      <c r="J663" s="18" t="str">
        <f>F663&amp;", "&amp;E663&amp;", Saudi Arabia"</f>
        <v>خب روضان, بريده, Saudi Arabia</v>
      </c>
      <c r="K663" s="18">
        <v>26.29261</v>
      </c>
      <c r="L663" s="18">
        <v>43.896567</v>
      </c>
      <c r="M663" s="18">
        <v>2000</v>
      </c>
      <c r="N663" s="18" t="s">
        <v>562</v>
      </c>
    </row>
    <row r="664" ht="15" customHeight="1" spans="1:14" x14ac:dyDescent="0.25">
      <c r="A664" s="11" t="s">
        <v>1896</v>
      </c>
      <c r="B664" s="11">
        <v>4</v>
      </c>
      <c r="C664" s="12" t="s">
        <v>55</v>
      </c>
      <c r="D664" s="11" t="s">
        <v>259</v>
      </c>
      <c r="E664" s="12" t="s">
        <v>260</v>
      </c>
      <c r="F664" s="12" t="s">
        <v>1897</v>
      </c>
      <c r="G664" s="11" t="s">
        <v>149</v>
      </c>
      <c r="H664" s="18" t="str">
        <f>IFERROR(INDEX('المحافظات Governorates'!$E$2:$E$151,MATCH(D664,'المحافظات Governorates'!$A$2:$A$151,0)),"")</f>
        <v>Buraydah</v>
      </c>
      <c r="I664" s="18" t="str">
        <f>IFERROR(INDEX('المناطق Regions'!$C$2:$C$15,MATCH(B664,'المناطق Regions'!$A$2:$A$15,0)),"")</f>
        <v>Al-Qassim</v>
      </c>
      <c r="J664" s="18" t="str">
        <f>F664&amp;", "&amp;E664&amp;", Saudi Arabia"</f>
        <v>ضراس, بريده, Saudi Arabia</v>
      </c>
      <c r="K664" s="18">
        <v>26.318855</v>
      </c>
      <c r="L664" s="18">
        <v>43.883783</v>
      </c>
      <c r="M664" s="18">
        <v>2000</v>
      </c>
      <c r="N664" s="18" t="s">
        <v>562</v>
      </c>
    </row>
    <row r="665" ht="15" customHeight="1" spans="1:14" x14ac:dyDescent="0.25">
      <c r="A665" s="13" t="s">
        <v>1898</v>
      </c>
      <c r="B665" s="13">
        <v>4</v>
      </c>
      <c r="C665" s="14" t="s">
        <v>55</v>
      </c>
      <c r="D665" s="13" t="s">
        <v>259</v>
      </c>
      <c r="E665" s="14" t="s">
        <v>260</v>
      </c>
      <c r="F665" s="14" t="s">
        <v>1899</v>
      </c>
      <c r="G665" s="13" t="s">
        <v>149</v>
      </c>
      <c r="H665" s="18" t="str">
        <f>IFERROR(INDEX('المحافظات Governorates'!$E$2:$E$151,MATCH(D665,'المحافظات Governorates'!$A$2:$A$151,0)),"")</f>
        <v>Buraydah</v>
      </c>
      <c r="I665" s="18" t="str">
        <f>IFERROR(INDEX('المناطق Regions'!$C$2:$C$15,MATCH(B665,'المناطق Regions'!$A$2:$A$15,0)),"")</f>
        <v>Al-Qassim</v>
      </c>
      <c r="J665" s="18" t="str">
        <f>F665&amp;", "&amp;E665&amp;", Saudi Arabia"</f>
        <v>طلحة, بريده, Saudi Arabia</v>
      </c>
      <c r="K665" s="18">
        <v>27.208448</v>
      </c>
      <c r="L665" s="18">
        <v>43.833752</v>
      </c>
      <c r="M665" s="18">
        <v>2000</v>
      </c>
      <c r="N665" s="18" t="s">
        <v>562</v>
      </c>
    </row>
    <row r="666" ht="15" customHeight="1" spans="1:14" x14ac:dyDescent="0.25">
      <c r="A666" s="11" t="s">
        <v>1900</v>
      </c>
      <c r="B666" s="11">
        <v>4</v>
      </c>
      <c r="C666" s="12" t="s">
        <v>55</v>
      </c>
      <c r="D666" s="11" t="s">
        <v>259</v>
      </c>
      <c r="E666" s="12" t="s">
        <v>260</v>
      </c>
      <c r="F666" s="12" t="s">
        <v>1901</v>
      </c>
      <c r="G666" s="11" t="s">
        <v>113</v>
      </c>
      <c r="H666" s="18" t="str">
        <f>IFERROR(INDEX('المحافظات Governorates'!$E$2:$E$151,MATCH(D666,'المحافظات Governorates'!$A$2:$A$151,0)),"")</f>
        <v>Buraydah</v>
      </c>
      <c r="I666" s="18" t="str">
        <f>IFERROR(INDEX('المناطق Regions'!$C$2:$C$15,MATCH(B666,'المناطق Regions'!$A$2:$A$15,0)),"")</f>
        <v>Al-Qassim</v>
      </c>
      <c r="J666" s="18" t="str">
        <f>F666&amp;", "&amp;E666&amp;", Saudi Arabia"</f>
        <v>قصر بن عقيل, بريده, Saudi Arabia</v>
      </c>
      <c r="K666" s="18">
        <v>25.840148</v>
      </c>
      <c r="L666" s="18">
        <v>43.369126</v>
      </c>
      <c r="M666" s="18">
        <v>2000</v>
      </c>
      <c r="N666" s="18" t="s">
        <v>562</v>
      </c>
    </row>
    <row r="667" ht="15" customHeight="1" spans="1:14" x14ac:dyDescent="0.25">
      <c r="A667" s="13" t="s">
        <v>1902</v>
      </c>
      <c r="B667" s="13">
        <v>4</v>
      </c>
      <c r="C667" s="14" t="s">
        <v>55</v>
      </c>
      <c r="D667" s="13" t="s">
        <v>259</v>
      </c>
      <c r="E667" s="14" t="s">
        <v>260</v>
      </c>
      <c r="F667" s="14" t="s">
        <v>1903</v>
      </c>
      <c r="G667" s="13" t="s">
        <v>113</v>
      </c>
      <c r="H667" s="18" t="str">
        <f>IFERROR(INDEX('المحافظات Governorates'!$E$2:$E$151,MATCH(D667,'المحافظات Governorates'!$A$2:$A$151,0)),"")</f>
        <v>Buraydah</v>
      </c>
      <c r="I667" s="18" t="str">
        <f>IFERROR(INDEX('المناطق Regions'!$C$2:$C$15,MATCH(B667,'المناطق Regions'!$A$2:$A$15,0)),"")</f>
        <v>Al-Qassim</v>
      </c>
      <c r="J667" s="18" t="str">
        <f>F667&amp;", "&amp;E667&amp;", Saudi Arabia"</f>
        <v>الثامريه, بريده, Saudi Arabia</v>
      </c>
      <c r="K667" s="18">
        <v>25.954567</v>
      </c>
      <c r="L667" s="18">
        <v>44.265244</v>
      </c>
      <c r="M667" s="18">
        <v>2000</v>
      </c>
      <c r="N667" s="18" t="s">
        <v>562</v>
      </c>
    </row>
    <row r="668" ht="15" customHeight="1" spans="1:14" x14ac:dyDescent="0.25">
      <c r="A668" s="11" t="s">
        <v>1904</v>
      </c>
      <c r="B668" s="11">
        <v>4</v>
      </c>
      <c r="C668" s="12" t="s">
        <v>55</v>
      </c>
      <c r="D668" s="11" t="s">
        <v>259</v>
      </c>
      <c r="E668" s="12" t="s">
        <v>260</v>
      </c>
      <c r="F668" s="12" t="s">
        <v>1067</v>
      </c>
      <c r="G668" s="11" t="s">
        <v>113</v>
      </c>
      <c r="H668" s="18" t="str">
        <f>IFERROR(INDEX('المحافظات Governorates'!$E$2:$E$151,MATCH(D668,'المحافظات Governorates'!$A$2:$A$151,0)),"")</f>
        <v>Buraydah</v>
      </c>
      <c r="I668" s="18" t="str">
        <f>IFERROR(INDEX('المناطق Regions'!$C$2:$C$15,MATCH(B668,'المناطق Regions'!$A$2:$A$15,0)),"")</f>
        <v>Al-Qassim</v>
      </c>
      <c r="J668" s="18" t="str">
        <f>F668&amp;", "&amp;E668&amp;", Saudi Arabia"</f>
        <v>العمار, بريده, Saudi Arabia</v>
      </c>
      <c r="K668" s="18">
        <v>25.569851</v>
      </c>
      <c r="L668" s="18">
        <v>44.313927</v>
      </c>
      <c r="M668" s="18">
        <v>2000</v>
      </c>
      <c r="N668" s="18" t="s">
        <v>562</v>
      </c>
    </row>
    <row r="669" ht="15" customHeight="1" spans="1:14" x14ac:dyDescent="0.25">
      <c r="A669" s="13" t="s">
        <v>1905</v>
      </c>
      <c r="B669" s="13">
        <v>4</v>
      </c>
      <c r="C669" s="14" t="s">
        <v>55</v>
      </c>
      <c r="D669" s="13" t="s">
        <v>259</v>
      </c>
      <c r="E669" s="14" t="s">
        <v>260</v>
      </c>
      <c r="F669" s="14" t="s">
        <v>1906</v>
      </c>
      <c r="G669" s="13" t="s">
        <v>113</v>
      </c>
      <c r="H669" s="18" t="str">
        <f>IFERROR(INDEX('المحافظات Governorates'!$E$2:$E$151,MATCH(D669,'المحافظات Governorates'!$A$2:$A$151,0)),"")</f>
        <v>Buraydah</v>
      </c>
      <c r="I669" s="18" t="str">
        <f>IFERROR(INDEX('المناطق Regions'!$C$2:$C$15,MATCH(B669,'المناطق Regions'!$A$2:$A$15,0)),"")</f>
        <v>Al-Qassim</v>
      </c>
      <c r="J669" s="18" t="str">
        <f>F669&amp;", "&amp;E669&amp;", Saudi Arabia"</f>
        <v>القواره, بريده, Saudi Arabia</v>
      </c>
      <c r="K669" s="18">
        <v>26.781858</v>
      </c>
      <c r="L669" s="18">
        <v>43.46685</v>
      </c>
      <c r="M669" s="18">
        <v>2000</v>
      </c>
      <c r="N669" s="18" t="s">
        <v>562</v>
      </c>
    </row>
    <row r="670" ht="15" customHeight="1" spans="1:14" x14ac:dyDescent="0.25">
      <c r="A670" s="11" t="s">
        <v>1907</v>
      </c>
      <c r="B670" s="11">
        <v>4</v>
      </c>
      <c r="C670" s="12" t="s">
        <v>55</v>
      </c>
      <c r="D670" s="11" t="s">
        <v>259</v>
      </c>
      <c r="E670" s="12" t="s">
        <v>260</v>
      </c>
      <c r="F670" s="12" t="s">
        <v>1559</v>
      </c>
      <c r="G670" s="11" t="s">
        <v>113</v>
      </c>
      <c r="H670" s="18" t="str">
        <f>IFERROR(INDEX('المحافظات Governorates'!$E$2:$E$151,MATCH(D670,'المحافظات Governorates'!$A$2:$A$151,0)),"")</f>
        <v>Buraydah</v>
      </c>
      <c r="I670" s="18" t="str">
        <f>IFERROR(INDEX('المناطق Regions'!$C$2:$C$15,MATCH(B670,'المناطق Regions'!$A$2:$A$15,0)),"")</f>
        <v>Al-Qassim</v>
      </c>
      <c r="J670" s="18" t="str">
        <f>F670&amp;", "&amp;E670&amp;", Saudi Arabia"</f>
        <v>الخبراء, بريده, Saudi Arabia</v>
      </c>
      <c r="K670" s="18">
        <v>26.070048</v>
      </c>
      <c r="L670" s="18">
        <v>43.62446</v>
      </c>
      <c r="M670" s="18">
        <v>2000</v>
      </c>
      <c r="N670" s="18" t="s">
        <v>562</v>
      </c>
    </row>
    <row r="671" ht="15" customHeight="1" spans="1:14" x14ac:dyDescent="0.25">
      <c r="A671" s="13" t="s">
        <v>1908</v>
      </c>
      <c r="B671" s="13">
        <v>4</v>
      </c>
      <c r="C671" s="14" t="s">
        <v>55</v>
      </c>
      <c r="D671" s="13" t="s">
        <v>259</v>
      </c>
      <c r="E671" s="14" t="s">
        <v>260</v>
      </c>
      <c r="F671" s="14" t="s">
        <v>701</v>
      </c>
      <c r="G671" s="13" t="s">
        <v>113</v>
      </c>
      <c r="H671" s="18" t="str">
        <f>IFERROR(INDEX('المحافظات Governorates'!$E$2:$E$151,MATCH(D671,'المحافظات Governorates'!$A$2:$A$151,0)),"")</f>
        <v>Buraydah</v>
      </c>
      <c r="I671" s="18" t="str">
        <f>IFERROR(INDEX('المناطق Regions'!$C$2:$C$15,MATCH(B671,'المناطق Regions'!$A$2:$A$15,0)),"")</f>
        <v>Al-Qassim</v>
      </c>
      <c r="J671" s="18" t="str">
        <f>F671&amp;", "&amp;E671&amp;", Saudi Arabia"</f>
        <v>القرين, بريده, Saudi Arabia</v>
      </c>
      <c r="K671" s="18">
        <v>26.010305</v>
      </c>
      <c r="L671" s="18">
        <v>43.368567</v>
      </c>
      <c r="M671" s="18">
        <v>2000</v>
      </c>
      <c r="N671" s="18" t="s">
        <v>562</v>
      </c>
    </row>
    <row r="672" ht="15" customHeight="1" spans="1:14" x14ac:dyDescent="0.25">
      <c r="A672" s="11" t="s">
        <v>1909</v>
      </c>
      <c r="B672" s="11">
        <v>4</v>
      </c>
      <c r="C672" s="12" t="s">
        <v>55</v>
      </c>
      <c r="D672" s="11" t="s">
        <v>259</v>
      </c>
      <c r="E672" s="12" t="s">
        <v>260</v>
      </c>
      <c r="F672" s="12" t="s">
        <v>1910</v>
      </c>
      <c r="G672" s="11" t="s">
        <v>113</v>
      </c>
      <c r="H672" s="18" t="str">
        <f>IFERROR(INDEX('المحافظات Governorates'!$E$2:$E$151,MATCH(D672,'المحافظات Governorates'!$A$2:$A$151,0)),"")</f>
        <v>Buraydah</v>
      </c>
      <c r="I672" s="18" t="str">
        <f>IFERROR(INDEX('المناطق Regions'!$C$2:$C$15,MATCH(B672,'المناطق Regions'!$A$2:$A$15,0)),"")</f>
        <v>Al-Qassim</v>
      </c>
      <c r="J672" s="18" t="str">
        <f>F672&amp;", "&amp;E672&amp;", Saudi Arabia"</f>
        <v>الدليميه, بريده, Saudi Arabia</v>
      </c>
      <c r="K672" s="18">
        <v>26.028611</v>
      </c>
      <c r="L672" s="18">
        <v>43.274167</v>
      </c>
      <c r="M672" s="18">
        <v>2000</v>
      </c>
      <c r="N672" s="18" t="s">
        <v>562</v>
      </c>
    </row>
    <row r="673" ht="15" customHeight="1" spans="1:14" x14ac:dyDescent="0.25">
      <c r="A673" s="13" t="s">
        <v>1911</v>
      </c>
      <c r="B673" s="13">
        <v>4</v>
      </c>
      <c r="C673" s="14" t="s">
        <v>55</v>
      </c>
      <c r="D673" s="13" t="s">
        <v>259</v>
      </c>
      <c r="E673" s="14" t="s">
        <v>260</v>
      </c>
      <c r="F673" s="14" t="s">
        <v>1912</v>
      </c>
      <c r="G673" s="13" t="s">
        <v>113</v>
      </c>
      <c r="H673" s="18" t="str">
        <f>IFERROR(INDEX('المحافظات Governorates'!$E$2:$E$151,MATCH(D673,'المحافظات Governorates'!$A$2:$A$151,0)),"")</f>
        <v>Buraydah</v>
      </c>
      <c r="I673" s="18" t="str">
        <f>IFERROR(INDEX('المناطق Regions'!$C$2:$C$15,MATCH(B673,'المناطق Regions'!$A$2:$A$15,0)),"")</f>
        <v>Al-Qassim</v>
      </c>
      <c r="J673" s="18" t="str">
        <f>F673&amp;", "&amp;E673&amp;", Saudi Arabia"</f>
        <v>الذيبيه, بريده, Saudi Arabia</v>
      </c>
      <c r="K673" s="18">
        <v>26.03018</v>
      </c>
      <c r="L673" s="18">
        <v>43.157581</v>
      </c>
      <c r="M673" s="18">
        <v>2000</v>
      </c>
      <c r="N673" s="18" t="s">
        <v>562</v>
      </c>
    </row>
    <row r="674" ht="15" customHeight="1" spans="1:14" x14ac:dyDescent="0.25">
      <c r="A674" s="11" t="s">
        <v>1913</v>
      </c>
      <c r="B674" s="11">
        <v>4</v>
      </c>
      <c r="C674" s="12" t="s">
        <v>55</v>
      </c>
      <c r="D674" s="11" t="s">
        <v>262</v>
      </c>
      <c r="E674" s="12" t="s">
        <v>263</v>
      </c>
      <c r="F674" s="12" t="s">
        <v>1914</v>
      </c>
      <c r="G674" s="11" t="s">
        <v>149</v>
      </c>
      <c r="H674" s="18" t="str">
        <f>IFERROR(INDEX('المحافظات Governorates'!$E$2:$E$151,MATCH(D674,'المحافظات Governorates'!$A$2:$A$151,0)),"")</f>
        <v>Unayzah</v>
      </c>
      <c r="I674" s="18" t="str">
        <f>IFERROR(INDEX('المناطق Regions'!$C$2:$C$15,MATCH(B674,'المناطق Regions'!$A$2:$A$15,0)),"")</f>
        <v>Al-Qassim</v>
      </c>
      <c r="J674" s="18" t="str">
        <f>F674&amp;", "&amp;E674&amp;", Saudi Arabia"</f>
        <v>الروغانى, عنيزه, Saudi Arabia</v>
      </c>
      <c r="K674" s="18">
        <v>26.134907</v>
      </c>
      <c r="L674" s="18">
        <v>43.979054</v>
      </c>
      <c r="M674" s="18">
        <v>2000</v>
      </c>
      <c r="N674" s="18" t="s">
        <v>562</v>
      </c>
    </row>
    <row r="675" ht="15" customHeight="1" spans="1:14" x14ac:dyDescent="0.25">
      <c r="A675" s="13" t="s">
        <v>1915</v>
      </c>
      <c r="B675" s="13">
        <v>4</v>
      </c>
      <c r="C675" s="14" t="s">
        <v>55</v>
      </c>
      <c r="D675" s="13" t="s">
        <v>262</v>
      </c>
      <c r="E675" s="14" t="s">
        <v>263</v>
      </c>
      <c r="F675" s="14" t="s">
        <v>1916</v>
      </c>
      <c r="G675" s="13" t="s">
        <v>149</v>
      </c>
      <c r="H675" s="18" t="str">
        <f>IFERROR(INDEX('المحافظات Governorates'!$E$2:$E$151,MATCH(D675,'المحافظات Governorates'!$A$2:$A$151,0)),"")</f>
        <v>Unayzah</v>
      </c>
      <c r="I675" s="18" t="str">
        <f>IFERROR(INDEX('المناطق Regions'!$C$2:$C$15,MATCH(B675,'المناطق Regions'!$A$2:$A$15,0)),"")</f>
        <v>Al-Qassim</v>
      </c>
      <c r="J675" s="18" t="str">
        <f>F675&amp;", "&amp;E675&amp;", Saudi Arabia"</f>
        <v>وادى الجناح, عنيزه, Saudi Arabia</v>
      </c>
      <c r="K675" s="18">
        <v>25.946627</v>
      </c>
      <c r="L675" s="18">
        <v>44.013263</v>
      </c>
      <c r="M675" s="18">
        <v>41779</v>
      </c>
      <c r="N675" s="18" t="s">
        <v>1917</v>
      </c>
    </row>
    <row r="676" ht="15" customHeight="1" spans="1:14" x14ac:dyDescent="0.25">
      <c r="A676" s="11" t="s">
        <v>1918</v>
      </c>
      <c r="B676" s="11">
        <v>4</v>
      </c>
      <c r="C676" s="12" t="s">
        <v>55</v>
      </c>
      <c r="D676" s="11" t="s">
        <v>262</v>
      </c>
      <c r="E676" s="12" t="s">
        <v>263</v>
      </c>
      <c r="F676" s="12" t="s">
        <v>1919</v>
      </c>
      <c r="G676" s="11" t="s">
        <v>149</v>
      </c>
      <c r="H676" s="18" t="str">
        <f>IFERROR(INDEX('المحافظات Governorates'!$E$2:$E$151,MATCH(D676,'المحافظات Governorates'!$A$2:$A$151,0)),"")</f>
        <v>Unayzah</v>
      </c>
      <c r="I676" s="18" t="str">
        <f>IFERROR(INDEX('المناطق Regions'!$C$2:$C$15,MATCH(B676,'المناطق Regions'!$A$2:$A$15,0)),"")</f>
        <v>Al-Qassim</v>
      </c>
      <c r="J676" s="18" t="str">
        <f>F676&amp;", "&amp;E676&amp;", Saudi Arabia"</f>
        <v>وادي ابوعلي, عنيزه, Saudi Arabia</v>
      </c>
      <c r="K676" s="18">
        <v>26.182727</v>
      </c>
      <c r="L676" s="18">
        <v>43.981754</v>
      </c>
      <c r="M676" s="18">
        <v>2000</v>
      </c>
      <c r="N676" s="18" t="s">
        <v>562</v>
      </c>
    </row>
    <row r="677" ht="15" customHeight="1" spans="1:14" x14ac:dyDescent="0.25">
      <c r="A677" s="13" t="s">
        <v>1920</v>
      </c>
      <c r="B677" s="13">
        <v>4</v>
      </c>
      <c r="C677" s="14" t="s">
        <v>55</v>
      </c>
      <c r="D677" s="13" t="s">
        <v>262</v>
      </c>
      <c r="E677" s="14" t="s">
        <v>263</v>
      </c>
      <c r="F677" s="14" t="s">
        <v>1921</v>
      </c>
      <c r="G677" s="13" t="s">
        <v>149</v>
      </c>
      <c r="H677" s="18" t="str">
        <f>IFERROR(INDEX('المحافظات Governorates'!$E$2:$E$151,MATCH(D677,'المحافظات Governorates'!$A$2:$A$151,0)),"")</f>
        <v>Unayzah</v>
      </c>
      <c r="I677" s="18" t="str">
        <f>IFERROR(INDEX('المناطق Regions'!$C$2:$C$15,MATCH(B677,'المناطق Regions'!$A$2:$A$15,0)),"")</f>
        <v>Al-Qassim</v>
      </c>
      <c r="J677" s="18" t="str">
        <f>F677&amp;", "&amp;E677&amp;", Saudi Arabia"</f>
        <v>العوشزيه, عنيزه, Saudi Arabia</v>
      </c>
      <c r="K677" s="18">
        <v>26.063206</v>
      </c>
      <c r="L677" s="18">
        <v>44.132204</v>
      </c>
      <c r="M677" s="18">
        <v>2000</v>
      </c>
      <c r="N677" s="18" t="s">
        <v>562</v>
      </c>
    </row>
    <row r="678" ht="15" customHeight="1" spans="1:14" x14ac:dyDescent="0.25">
      <c r="A678" s="11" t="s">
        <v>1922</v>
      </c>
      <c r="B678" s="11">
        <v>4</v>
      </c>
      <c r="C678" s="12" t="s">
        <v>55</v>
      </c>
      <c r="D678" s="11" t="s">
        <v>265</v>
      </c>
      <c r="E678" s="12" t="s">
        <v>266</v>
      </c>
      <c r="F678" s="12" t="s">
        <v>1923</v>
      </c>
      <c r="G678" s="11" t="s">
        <v>113</v>
      </c>
      <c r="H678" s="18" t="str">
        <f>IFERROR(INDEX('المحافظات Governorates'!$E$2:$E$151,MATCH(D678,'المحافظات Governorates'!$A$2:$A$151,0)),"")</f>
        <v>Ar-Rass</v>
      </c>
      <c r="I678" s="18" t="str">
        <f>IFERROR(INDEX('المناطق Regions'!$C$2:$C$15,MATCH(B678,'المناطق Regions'!$A$2:$A$15,0)),"")</f>
        <v>Al-Qassim</v>
      </c>
      <c r="J678" s="18" t="str">
        <f>F678&amp;", "&amp;E678&amp;", Saudi Arabia"</f>
        <v>دخنه, الرس, Saudi Arabia</v>
      </c>
      <c r="K678" s="18">
        <v>25.859497</v>
      </c>
      <c r="L678" s="18">
        <v>43.507798</v>
      </c>
      <c r="M678" s="18">
        <v>2000</v>
      </c>
      <c r="N678" s="18" t="s">
        <v>562</v>
      </c>
    </row>
    <row r="679" ht="15" customHeight="1" spans="1:14" x14ac:dyDescent="0.25">
      <c r="A679" s="13" t="s">
        <v>1924</v>
      </c>
      <c r="B679" s="13">
        <v>4</v>
      </c>
      <c r="C679" s="14" t="s">
        <v>55</v>
      </c>
      <c r="D679" s="13" t="s">
        <v>265</v>
      </c>
      <c r="E679" s="14" t="s">
        <v>266</v>
      </c>
      <c r="F679" s="14" t="s">
        <v>1925</v>
      </c>
      <c r="G679" s="13" t="s">
        <v>149</v>
      </c>
      <c r="H679" s="18" t="str">
        <f>IFERROR(INDEX('المحافظات Governorates'!$E$2:$E$151,MATCH(D679,'المحافظات Governorates'!$A$2:$A$151,0)),"")</f>
        <v>Ar-Rass</v>
      </c>
      <c r="I679" s="18" t="str">
        <f>IFERROR(INDEX('المناطق Regions'!$C$2:$C$15,MATCH(B679,'المناطق Regions'!$A$2:$A$15,0)),"")</f>
        <v>Al-Qassim</v>
      </c>
      <c r="J679" s="18" t="str">
        <f>F679&amp;", "&amp;E679&amp;", Saudi Arabia"</f>
        <v>الخريشاء, الرس, Saudi Arabia</v>
      </c>
      <c r="K679" s="18">
        <v>25.421668</v>
      </c>
      <c r="L679" s="18">
        <v>43.379774</v>
      </c>
      <c r="M679" s="18">
        <v>2000</v>
      </c>
      <c r="N679" s="18" t="s">
        <v>562</v>
      </c>
    </row>
    <row r="680" ht="15" customHeight="1" spans="1:14" x14ac:dyDescent="0.25">
      <c r="A680" s="11" t="s">
        <v>1926</v>
      </c>
      <c r="B680" s="11">
        <v>4</v>
      </c>
      <c r="C680" s="12" t="s">
        <v>55</v>
      </c>
      <c r="D680" s="11" t="s">
        <v>265</v>
      </c>
      <c r="E680" s="12" t="s">
        <v>266</v>
      </c>
      <c r="F680" s="12" t="s">
        <v>1927</v>
      </c>
      <c r="G680" s="11" t="s">
        <v>149</v>
      </c>
      <c r="H680" s="18" t="str">
        <f>IFERROR(INDEX('المحافظات Governorates'!$E$2:$E$151,MATCH(D680,'المحافظات Governorates'!$A$2:$A$151,0)),"")</f>
        <v>Ar-Rass</v>
      </c>
      <c r="I680" s="18" t="str">
        <f>IFERROR(INDEX('المناطق Regions'!$C$2:$C$15,MATCH(B680,'المناطق Regions'!$A$2:$A$15,0)),"")</f>
        <v>Al-Qassim</v>
      </c>
      <c r="J680" s="18" t="str">
        <f>F680&amp;", "&amp;E680&amp;", Saudi Arabia"</f>
        <v>الدحله, الرس, Saudi Arabia</v>
      </c>
      <c r="K680" s="18">
        <v>25.412062</v>
      </c>
      <c r="L680" s="18">
        <v>43.382228</v>
      </c>
      <c r="M680" s="18">
        <v>2000</v>
      </c>
      <c r="N680" s="18" t="s">
        <v>562</v>
      </c>
    </row>
    <row r="681" ht="15" customHeight="1" spans="1:14" x14ac:dyDescent="0.25">
      <c r="A681" s="13" t="s">
        <v>1928</v>
      </c>
      <c r="B681" s="13">
        <v>4</v>
      </c>
      <c r="C681" s="14" t="s">
        <v>55</v>
      </c>
      <c r="D681" s="13" t="s">
        <v>265</v>
      </c>
      <c r="E681" s="14" t="s">
        <v>266</v>
      </c>
      <c r="F681" s="14" t="s">
        <v>1929</v>
      </c>
      <c r="G681" s="13" t="s">
        <v>113</v>
      </c>
      <c r="H681" s="18" t="str">
        <f>IFERROR(INDEX('المحافظات Governorates'!$E$2:$E$151,MATCH(D681,'المحافظات Governorates'!$A$2:$A$151,0)),"")</f>
        <v>Ar-Rass</v>
      </c>
      <c r="I681" s="18" t="str">
        <f>IFERROR(INDEX('المناطق Regions'!$C$2:$C$15,MATCH(B681,'المناطق Regions'!$A$2:$A$15,0)),"")</f>
        <v>Al-Qassim</v>
      </c>
      <c r="J681" s="18" t="str">
        <f>F681&amp;", "&amp;E681&amp;", Saudi Arabia"</f>
        <v>الشنانه, الرس, Saudi Arabia</v>
      </c>
      <c r="K681" s="18">
        <v>25.86353</v>
      </c>
      <c r="L681" s="18">
        <v>43.475332</v>
      </c>
      <c r="M681" s="18">
        <v>2000</v>
      </c>
      <c r="N681" s="18" t="s">
        <v>562</v>
      </c>
    </row>
    <row r="682" ht="15" customHeight="1" spans="1:14" x14ac:dyDescent="0.25">
      <c r="A682" s="11" t="s">
        <v>1930</v>
      </c>
      <c r="B682" s="11">
        <v>4</v>
      </c>
      <c r="C682" s="12" t="s">
        <v>55</v>
      </c>
      <c r="D682" s="11" t="s">
        <v>265</v>
      </c>
      <c r="E682" s="12" t="s">
        <v>266</v>
      </c>
      <c r="F682" s="12" t="s">
        <v>1931</v>
      </c>
      <c r="G682" s="11" t="s">
        <v>149</v>
      </c>
      <c r="H682" s="18" t="str">
        <f>IFERROR(INDEX('المحافظات Governorates'!$E$2:$E$151,MATCH(D682,'المحافظات Governorates'!$A$2:$A$151,0)),"")</f>
        <v>Ar-Rass</v>
      </c>
      <c r="I682" s="18" t="str">
        <f>IFERROR(INDEX('المناطق Regions'!$C$2:$C$15,MATCH(B682,'المناطق Regions'!$A$2:$A$15,0)),"")</f>
        <v>Al-Qassim</v>
      </c>
      <c r="J682" s="18" t="str">
        <f>F682&amp;", "&amp;E682&amp;", Saudi Arabia"</f>
        <v>المطيه, الرس, Saudi Arabia</v>
      </c>
      <c r="K682" s="18">
        <v>25.841362</v>
      </c>
      <c r="L682" s="18">
        <v>43.483379</v>
      </c>
      <c r="M682" s="18">
        <v>2000</v>
      </c>
      <c r="N682" s="18" t="s">
        <v>562</v>
      </c>
    </row>
    <row r="683" ht="15" customHeight="1" spans="1:14" x14ac:dyDescent="0.25">
      <c r="A683" s="13" t="s">
        <v>1932</v>
      </c>
      <c r="B683" s="13">
        <v>4</v>
      </c>
      <c r="C683" s="14" t="s">
        <v>55</v>
      </c>
      <c r="D683" s="13" t="s">
        <v>265</v>
      </c>
      <c r="E683" s="14" t="s">
        <v>266</v>
      </c>
      <c r="F683" s="14" t="s">
        <v>1933</v>
      </c>
      <c r="G683" s="13" t="s">
        <v>149</v>
      </c>
      <c r="H683" s="18" t="str">
        <f>IFERROR(INDEX('المحافظات Governorates'!$E$2:$E$151,MATCH(D683,'المحافظات Governorates'!$A$2:$A$151,0)),"")</f>
        <v>Ar-Rass</v>
      </c>
      <c r="I683" s="18" t="str">
        <f>IFERROR(INDEX('المناطق Regions'!$C$2:$C$15,MATCH(B683,'المناطق Regions'!$A$2:$A$15,0)),"")</f>
        <v>Al-Qassim</v>
      </c>
      <c r="J683" s="18" t="str">
        <f>F683&amp;", "&amp;E683&amp;", Saudi Arabia"</f>
        <v>الغيدانيه, الرس, Saudi Arabia</v>
      </c>
      <c r="K683" s="18">
        <v>25.568752</v>
      </c>
      <c r="L683" s="18">
        <v>43.565211</v>
      </c>
      <c r="M683" s="18">
        <v>51598</v>
      </c>
      <c r="N683" s="18" t="s">
        <v>1934</v>
      </c>
    </row>
    <row r="684" ht="15" customHeight="1" spans="1:14" x14ac:dyDescent="0.25">
      <c r="A684" s="11" t="s">
        <v>1935</v>
      </c>
      <c r="B684" s="11">
        <v>4</v>
      </c>
      <c r="C684" s="12" t="s">
        <v>55</v>
      </c>
      <c r="D684" s="11" t="s">
        <v>268</v>
      </c>
      <c r="E684" s="12" t="s">
        <v>269</v>
      </c>
      <c r="F684" s="12" t="s">
        <v>1936</v>
      </c>
      <c r="G684" s="11" t="s">
        <v>149</v>
      </c>
      <c r="H684" s="18" t="str">
        <f>IFERROR(INDEX('المحافظات Governorates'!$E$2:$E$151,MATCH(D684,'المحافظات Governorates'!$A$2:$A$151,0)),"")</f>
        <v>Al-Mithnab</v>
      </c>
      <c r="I684" s="18" t="str">
        <f>IFERROR(INDEX('المناطق Regions'!$C$2:$C$15,MATCH(B684,'المناطق Regions'!$A$2:$A$15,0)),"")</f>
        <v>Al-Qassim</v>
      </c>
      <c r="J684" s="18" t="str">
        <f>F684&amp;", "&amp;E684&amp;", Saudi Arabia"</f>
        <v>روضه الحسو, المذنب, Saudi Arabia</v>
      </c>
      <c r="K684" s="18">
        <v>25.809383</v>
      </c>
      <c r="L684" s="18">
        <v>44.316677</v>
      </c>
      <c r="M684" s="18">
        <v>2000</v>
      </c>
      <c r="N684" s="18" t="s">
        <v>562</v>
      </c>
    </row>
    <row r="685" ht="15" customHeight="1" spans="1:14" x14ac:dyDescent="0.25">
      <c r="A685" s="13" t="s">
        <v>1937</v>
      </c>
      <c r="B685" s="13">
        <v>4</v>
      </c>
      <c r="C685" s="14" t="s">
        <v>55</v>
      </c>
      <c r="D685" s="13" t="s">
        <v>268</v>
      </c>
      <c r="E685" s="14" t="s">
        <v>269</v>
      </c>
      <c r="F685" s="14" t="s">
        <v>1843</v>
      </c>
      <c r="G685" s="13" t="s">
        <v>149</v>
      </c>
      <c r="H685" s="18" t="str">
        <f>IFERROR(INDEX('المحافظات Governorates'!$E$2:$E$151,MATCH(D685,'المحافظات Governorates'!$A$2:$A$151,0)),"")</f>
        <v>Al-Mithnab</v>
      </c>
      <c r="I685" s="18" t="str">
        <f>IFERROR(INDEX('المناطق Regions'!$C$2:$C$15,MATCH(B685,'المناطق Regions'!$A$2:$A$15,0)),"")</f>
        <v>Al-Qassim</v>
      </c>
      <c r="J685" s="18" t="str">
        <f>F685&amp;", "&amp;E685&amp;", Saudi Arabia"</f>
        <v>المربع, المذنب, Saudi Arabia</v>
      </c>
      <c r="K685" s="18">
        <v>25.729116</v>
      </c>
      <c r="L685" s="18">
        <v>44.302134</v>
      </c>
      <c r="M685" s="18">
        <v>2000</v>
      </c>
      <c r="N685" s="18" t="s">
        <v>642</v>
      </c>
    </row>
    <row r="686" ht="15" customHeight="1" spans="1:14" x14ac:dyDescent="0.25">
      <c r="A686" s="11" t="s">
        <v>1938</v>
      </c>
      <c r="B686" s="11">
        <v>4</v>
      </c>
      <c r="C686" s="12" t="s">
        <v>55</v>
      </c>
      <c r="D686" s="11" t="s">
        <v>268</v>
      </c>
      <c r="E686" s="12" t="s">
        <v>269</v>
      </c>
      <c r="F686" s="12" t="s">
        <v>1939</v>
      </c>
      <c r="G686" s="11" t="s">
        <v>149</v>
      </c>
      <c r="H686" s="18" t="str">
        <f>IFERROR(INDEX('المحافظات Governorates'!$E$2:$E$151,MATCH(D686,'المحافظات Governorates'!$A$2:$A$151,0)),"")</f>
        <v>Al-Mithnab</v>
      </c>
      <c r="I686" s="18" t="str">
        <f>IFERROR(INDEX('المناطق Regions'!$C$2:$C$15,MATCH(B686,'المناطق Regions'!$A$2:$A$15,0)),"")</f>
        <v>Al-Qassim</v>
      </c>
      <c r="J686" s="18" t="str">
        <f>F686&amp;", "&amp;E686&amp;", Saudi Arabia"</f>
        <v>الخرماء, المذنب, Saudi Arabia</v>
      </c>
      <c r="K686" s="18">
        <v>25.57962</v>
      </c>
      <c r="L686" s="18">
        <v>44.024265</v>
      </c>
      <c r="M686" s="18">
        <v>2000</v>
      </c>
      <c r="N686" s="18" t="s">
        <v>642</v>
      </c>
    </row>
    <row r="687" ht="15" customHeight="1" spans="1:14" x14ac:dyDescent="0.25">
      <c r="A687" s="13" t="s">
        <v>1940</v>
      </c>
      <c r="B687" s="13">
        <v>4</v>
      </c>
      <c r="C687" s="14" t="s">
        <v>55</v>
      </c>
      <c r="D687" s="13" t="s">
        <v>268</v>
      </c>
      <c r="E687" s="14" t="s">
        <v>269</v>
      </c>
      <c r="F687" s="14" t="s">
        <v>1941</v>
      </c>
      <c r="G687" s="13" t="s">
        <v>149</v>
      </c>
      <c r="H687" s="18" t="str">
        <f>IFERROR(INDEX('المحافظات Governorates'!$E$2:$E$151,MATCH(D687,'المحافظات Governorates'!$A$2:$A$151,0)),"")</f>
        <v>Al-Mithnab</v>
      </c>
      <c r="I687" s="18" t="str">
        <f>IFERROR(INDEX('المناطق Regions'!$C$2:$C$15,MATCH(B687,'المناطق Regions'!$A$2:$A$15,0)),"")</f>
        <v>Al-Qassim</v>
      </c>
      <c r="J687" s="18" t="str">
        <f>F687&amp;", "&amp;E687&amp;", Saudi Arabia"</f>
        <v>الخرماءالشماليه, المذنب, Saudi Arabia</v>
      </c>
      <c r="K687" s="18">
        <v>25.604888</v>
      </c>
      <c r="L687" s="18">
        <v>44.061017</v>
      </c>
      <c r="M687" s="18">
        <v>2000</v>
      </c>
      <c r="N687" s="18" t="s">
        <v>562</v>
      </c>
    </row>
    <row r="688" ht="15" customHeight="1" spans="1:14" x14ac:dyDescent="0.25">
      <c r="A688" s="11" t="s">
        <v>1942</v>
      </c>
      <c r="B688" s="11">
        <v>4</v>
      </c>
      <c r="C688" s="12" t="s">
        <v>55</v>
      </c>
      <c r="D688" s="11" t="s">
        <v>268</v>
      </c>
      <c r="E688" s="12" t="s">
        <v>269</v>
      </c>
      <c r="F688" s="12" t="s">
        <v>1943</v>
      </c>
      <c r="G688" s="11" t="s">
        <v>149</v>
      </c>
      <c r="H688" s="18" t="str">
        <f>IFERROR(INDEX('المحافظات Governorates'!$E$2:$E$151,MATCH(D688,'المحافظات Governorates'!$A$2:$A$151,0)),"")</f>
        <v>Al-Mithnab</v>
      </c>
      <c r="I688" s="18" t="str">
        <f>IFERROR(INDEX('المناطق Regions'!$C$2:$C$15,MATCH(B688,'المناطق Regions'!$A$2:$A$15,0)),"")</f>
        <v>Al-Qassim</v>
      </c>
      <c r="J688" s="18" t="str">
        <f>F688&amp;", "&amp;E688&amp;", Saudi Arabia"</f>
        <v>ساموده, المذنب, Saudi Arabia</v>
      </c>
      <c r="K688" s="18">
        <v>25.426191</v>
      </c>
      <c r="L688" s="18">
        <v>43.892549</v>
      </c>
      <c r="M688" s="18">
        <v>2000</v>
      </c>
      <c r="N688" s="18" t="s">
        <v>562</v>
      </c>
    </row>
    <row r="689" ht="15" customHeight="1" spans="1:14" x14ac:dyDescent="0.25">
      <c r="A689" s="13" t="s">
        <v>1944</v>
      </c>
      <c r="B689" s="13">
        <v>4</v>
      </c>
      <c r="C689" s="14" t="s">
        <v>55</v>
      </c>
      <c r="D689" s="13" t="s">
        <v>268</v>
      </c>
      <c r="E689" s="14" t="s">
        <v>269</v>
      </c>
      <c r="F689" s="14" t="s">
        <v>1945</v>
      </c>
      <c r="G689" s="13" t="s">
        <v>149</v>
      </c>
      <c r="H689" s="18" t="str">
        <f>IFERROR(INDEX('المحافظات Governorates'!$E$2:$E$151,MATCH(D689,'المحافظات Governorates'!$A$2:$A$151,0)),"")</f>
        <v>Al-Mithnab</v>
      </c>
      <c r="I689" s="18" t="str">
        <f>IFERROR(INDEX('المناطق Regions'!$C$2:$C$15,MATCH(B689,'المناطق Regions'!$A$2:$A$15,0)),"")</f>
        <v>Al-Qassim</v>
      </c>
      <c r="J689" s="18" t="str">
        <f>F689&amp;", "&amp;E689&amp;", Saudi Arabia"</f>
        <v>ربيق, المذنب, Saudi Arabia</v>
      </c>
      <c r="K689" s="18">
        <v>25.451429</v>
      </c>
      <c r="L689" s="18">
        <v>43.874486</v>
      </c>
      <c r="M689" s="18">
        <v>2000</v>
      </c>
      <c r="N689" s="18" t="s">
        <v>642</v>
      </c>
    </row>
    <row r="690" ht="15" customHeight="1" spans="1:14" x14ac:dyDescent="0.25">
      <c r="A690" s="11" t="s">
        <v>1946</v>
      </c>
      <c r="B690" s="11">
        <v>4</v>
      </c>
      <c r="C690" s="12" t="s">
        <v>55</v>
      </c>
      <c r="D690" s="11" t="s">
        <v>268</v>
      </c>
      <c r="E690" s="12" t="s">
        <v>269</v>
      </c>
      <c r="F690" s="12" t="s">
        <v>1947</v>
      </c>
      <c r="G690" s="11" t="s">
        <v>113</v>
      </c>
      <c r="H690" s="18" t="str">
        <f>IFERROR(INDEX('المحافظات Governorates'!$E$2:$E$151,MATCH(D690,'المحافظات Governorates'!$A$2:$A$151,0)),"")</f>
        <v>Al-Mithnab</v>
      </c>
      <c r="I690" s="18" t="str">
        <f>IFERROR(INDEX('المناطق Regions'!$C$2:$C$15,MATCH(B690,'المناطق Regions'!$A$2:$A$15,0)),"")</f>
        <v>Al-Qassim</v>
      </c>
      <c r="J690" s="18" t="str">
        <f>F690&amp;", "&amp;E690&amp;", Saudi Arabia"</f>
        <v>الملقاء, المذنب, Saudi Arabia</v>
      </c>
      <c r="K690" s="18">
        <v>25.457397</v>
      </c>
      <c r="L690" s="18">
        <v>44.014838</v>
      </c>
      <c r="M690" s="18">
        <v>2000</v>
      </c>
      <c r="N690" s="18" t="s">
        <v>642</v>
      </c>
    </row>
    <row r="691" ht="15" customHeight="1" spans="1:14" x14ac:dyDescent="0.25">
      <c r="A691" s="13" t="s">
        <v>1948</v>
      </c>
      <c r="B691" s="13">
        <v>4</v>
      </c>
      <c r="C691" s="14" t="s">
        <v>55</v>
      </c>
      <c r="D691" s="13" t="s">
        <v>271</v>
      </c>
      <c r="E691" s="14" t="s">
        <v>272</v>
      </c>
      <c r="F691" s="14" t="s">
        <v>1949</v>
      </c>
      <c r="G691" s="13" t="s">
        <v>113</v>
      </c>
      <c r="H691" s="18" t="str">
        <f>IFERROR(INDEX('المحافظات Governorates'!$E$2:$E$151,MATCH(D691,'المحافظات Governorates'!$A$2:$A$151,0)),"")</f>
        <v>Al-Bukayriyah</v>
      </c>
      <c r="I691" s="18" t="str">
        <f>IFERROR(INDEX('المناطق Regions'!$C$2:$C$15,MATCH(B691,'المناطق Regions'!$A$2:$A$15,0)),"")</f>
        <v>Al-Qassim</v>
      </c>
      <c r="J691" s="18" t="str">
        <f>F691&amp;", "&amp;E691&amp;", Saudi Arabia"</f>
        <v>الهلاليه, البكيريه, Saudi Arabia</v>
      </c>
      <c r="K691" s="18">
        <v>26.127763</v>
      </c>
      <c r="L691" s="18">
        <v>43.669378</v>
      </c>
      <c r="M691" s="18">
        <v>2000</v>
      </c>
      <c r="N691" s="18" t="s">
        <v>562</v>
      </c>
    </row>
    <row r="692" ht="15" customHeight="1" spans="1:14" x14ac:dyDescent="0.25">
      <c r="A692" s="11" t="s">
        <v>1950</v>
      </c>
      <c r="B692" s="11">
        <v>4</v>
      </c>
      <c r="C692" s="12" t="s">
        <v>55</v>
      </c>
      <c r="D692" s="11" t="s">
        <v>271</v>
      </c>
      <c r="E692" s="12" t="s">
        <v>272</v>
      </c>
      <c r="F692" s="12" t="s">
        <v>1951</v>
      </c>
      <c r="G692" s="11" t="s">
        <v>113</v>
      </c>
      <c r="H692" s="18" t="str">
        <f>IFERROR(INDEX('المحافظات Governorates'!$E$2:$E$151,MATCH(D692,'المحافظات Governorates'!$A$2:$A$151,0)),"")</f>
        <v>Al-Bukayriyah</v>
      </c>
      <c r="I692" s="18" t="str">
        <f>IFERROR(INDEX('المناطق Regions'!$C$2:$C$15,MATCH(B692,'المناطق Regions'!$A$2:$A$15,0)),"")</f>
        <v>Al-Qassim</v>
      </c>
      <c r="J692" s="18" t="str">
        <f>F692&amp;", "&amp;E692&amp;", Saudi Arabia"</f>
        <v>الشيحيه, البكيريه, Saudi Arabia</v>
      </c>
      <c r="K692" s="18">
        <v>26.251482</v>
      </c>
      <c r="L692" s="18">
        <v>43.609719</v>
      </c>
      <c r="M692" s="18">
        <v>2000</v>
      </c>
      <c r="N692" s="18" t="s">
        <v>562</v>
      </c>
    </row>
    <row r="693" ht="15" customHeight="1" spans="1:14" x14ac:dyDescent="0.25">
      <c r="A693" s="13" t="s">
        <v>1952</v>
      </c>
      <c r="B693" s="13">
        <v>4</v>
      </c>
      <c r="C693" s="14" t="s">
        <v>55</v>
      </c>
      <c r="D693" s="13" t="s">
        <v>271</v>
      </c>
      <c r="E693" s="14" t="s">
        <v>272</v>
      </c>
      <c r="F693" s="14" t="s">
        <v>935</v>
      </c>
      <c r="G693" s="13" t="s">
        <v>113</v>
      </c>
      <c r="H693" s="18" t="str">
        <f>IFERROR(INDEX('المحافظات Governorates'!$E$2:$E$151,MATCH(D693,'المحافظات Governorates'!$A$2:$A$151,0)),"")</f>
        <v>Al-Bukayriyah</v>
      </c>
      <c r="I693" s="18" t="str">
        <f>IFERROR(INDEX('المناطق Regions'!$C$2:$C$15,MATCH(B693,'المناطق Regions'!$A$2:$A$15,0)),"")</f>
        <v>Al-Qassim</v>
      </c>
      <c r="J693" s="18" t="str">
        <f>F693&amp;", "&amp;E693&amp;", Saudi Arabia"</f>
        <v>الفويلق, البكيريه, Saudi Arabia</v>
      </c>
      <c r="K693" s="18">
        <v>26.443709</v>
      </c>
      <c r="L693" s="18">
        <v>43.253492</v>
      </c>
      <c r="M693" s="18">
        <v>2000</v>
      </c>
      <c r="N693" s="18" t="s">
        <v>562</v>
      </c>
    </row>
    <row r="694" ht="15" customHeight="1" spans="1:14" x14ac:dyDescent="0.25">
      <c r="A694" s="11" t="s">
        <v>1953</v>
      </c>
      <c r="B694" s="11">
        <v>4</v>
      </c>
      <c r="C694" s="12" t="s">
        <v>55</v>
      </c>
      <c r="D694" s="11" t="s">
        <v>271</v>
      </c>
      <c r="E694" s="12" t="s">
        <v>272</v>
      </c>
      <c r="F694" s="12" t="s">
        <v>1954</v>
      </c>
      <c r="G694" s="11" t="s">
        <v>113</v>
      </c>
      <c r="H694" s="18" t="str">
        <f>IFERROR(INDEX('المحافظات Governorates'!$E$2:$E$151,MATCH(D694,'المحافظات Governorates'!$A$2:$A$151,0)),"")</f>
        <v>Al-Bukayriyah</v>
      </c>
      <c r="I694" s="18" t="str">
        <f>IFERROR(INDEX('المناطق Regions'!$C$2:$C$15,MATCH(B694,'المناطق Regions'!$A$2:$A$15,0)),"")</f>
        <v>Al-Qassim</v>
      </c>
      <c r="J694" s="18" t="str">
        <f>F694&amp;", "&amp;E694&amp;", Saudi Arabia"</f>
        <v>كحله, البكيريه, Saudi Arabia</v>
      </c>
      <c r="K694" s="18">
        <v>26.609811</v>
      </c>
      <c r="L694" s="18">
        <v>42.644122</v>
      </c>
      <c r="M694" s="18">
        <v>2000</v>
      </c>
      <c r="N694" s="18" t="s">
        <v>562</v>
      </c>
    </row>
    <row r="695" ht="15" customHeight="1" spans="1:14" x14ac:dyDescent="0.25">
      <c r="A695" s="13" t="s">
        <v>1955</v>
      </c>
      <c r="B695" s="13">
        <v>4</v>
      </c>
      <c r="C695" s="14" t="s">
        <v>55</v>
      </c>
      <c r="D695" s="13" t="s">
        <v>271</v>
      </c>
      <c r="E695" s="14" t="s">
        <v>272</v>
      </c>
      <c r="F695" s="14" t="s">
        <v>1956</v>
      </c>
      <c r="G695" s="13" t="s">
        <v>149</v>
      </c>
      <c r="H695" s="18" t="str">
        <f>IFERROR(INDEX('المحافظات Governorates'!$E$2:$E$151,MATCH(D695,'المحافظات Governorates'!$A$2:$A$151,0)),"")</f>
        <v>Al-Bukayriyah</v>
      </c>
      <c r="I695" s="18" t="str">
        <f>IFERROR(INDEX('المناطق Regions'!$C$2:$C$15,MATCH(B695,'المناطق Regions'!$A$2:$A$15,0)),"")</f>
        <v>Al-Qassim</v>
      </c>
      <c r="J695" s="18" t="str">
        <f>F695&amp;", "&amp;E695&amp;", Saudi Arabia"</f>
        <v>الضلفعه, البكيريه, Saudi Arabia</v>
      </c>
      <c r="K695" s="18">
        <v>26.317722</v>
      </c>
      <c r="L695" s="18">
        <v>43.673741</v>
      </c>
      <c r="M695" s="18">
        <v>2000</v>
      </c>
      <c r="N695" s="18" t="s">
        <v>562</v>
      </c>
    </row>
    <row r="696" ht="15" customHeight="1" spans="1:14" x14ac:dyDescent="0.25">
      <c r="A696" s="11" t="s">
        <v>1957</v>
      </c>
      <c r="B696" s="11">
        <v>4</v>
      </c>
      <c r="C696" s="12" t="s">
        <v>55</v>
      </c>
      <c r="D696" s="11" t="s">
        <v>271</v>
      </c>
      <c r="E696" s="12" t="s">
        <v>272</v>
      </c>
      <c r="F696" s="12" t="s">
        <v>1958</v>
      </c>
      <c r="G696" s="11" t="s">
        <v>149</v>
      </c>
      <c r="H696" s="18" t="str">
        <f>IFERROR(INDEX('المحافظات Governorates'!$E$2:$E$151,MATCH(D696,'المحافظات Governorates'!$A$2:$A$151,0)),"")</f>
        <v>Al-Bukayriyah</v>
      </c>
      <c r="I696" s="18" t="str">
        <f>IFERROR(INDEX('المناطق Regions'!$C$2:$C$15,MATCH(B696,'المناطق Regions'!$A$2:$A$15,0)),"")</f>
        <v>Al-Qassim</v>
      </c>
      <c r="J696" s="18" t="str">
        <f>F696&amp;", "&amp;E696&amp;", Saudi Arabia"</f>
        <v>الارطاوى, البكيريه, Saudi Arabia</v>
      </c>
      <c r="K696" s="18">
        <v>26.56083</v>
      </c>
      <c r="L696" s="18">
        <v>42.654302</v>
      </c>
      <c r="M696" s="18">
        <v>2000</v>
      </c>
      <c r="N696" s="18" t="s">
        <v>562</v>
      </c>
    </row>
    <row r="697" ht="15" customHeight="1" spans="1:14" x14ac:dyDescent="0.25">
      <c r="A697" s="13" t="s">
        <v>1959</v>
      </c>
      <c r="B697" s="13">
        <v>4</v>
      </c>
      <c r="C697" s="14" t="s">
        <v>55</v>
      </c>
      <c r="D697" s="13" t="s">
        <v>271</v>
      </c>
      <c r="E697" s="14" t="s">
        <v>272</v>
      </c>
      <c r="F697" s="14" t="s">
        <v>1960</v>
      </c>
      <c r="G697" s="13" t="s">
        <v>149</v>
      </c>
      <c r="H697" s="18" t="str">
        <f>IFERROR(INDEX('المحافظات Governorates'!$E$2:$E$151,MATCH(D697,'المحافظات Governorates'!$A$2:$A$151,0)),"")</f>
        <v>Al-Bukayriyah</v>
      </c>
      <c r="I697" s="18" t="str">
        <f>IFERROR(INDEX('المناطق Regions'!$C$2:$C$15,MATCH(B697,'المناطق Regions'!$A$2:$A$15,0)),"")</f>
        <v>Al-Qassim</v>
      </c>
      <c r="J697" s="18" t="str">
        <f>F697&amp;", "&amp;E697&amp;", Saudi Arabia"</f>
        <v>مشاش جرود, البكيريه, Saudi Arabia</v>
      </c>
      <c r="K697" s="18">
        <v>26.55859</v>
      </c>
      <c r="L697" s="18">
        <v>42.78188</v>
      </c>
      <c r="M697" s="18">
        <v>2000</v>
      </c>
      <c r="N697" s="18" t="s">
        <v>562</v>
      </c>
    </row>
    <row r="698" ht="15" customHeight="1" spans="1:14" x14ac:dyDescent="0.25">
      <c r="A698" s="11" t="s">
        <v>1961</v>
      </c>
      <c r="B698" s="11">
        <v>4</v>
      </c>
      <c r="C698" s="12" t="s">
        <v>55</v>
      </c>
      <c r="D698" s="11" t="s">
        <v>271</v>
      </c>
      <c r="E698" s="12" t="s">
        <v>272</v>
      </c>
      <c r="F698" s="12" t="s">
        <v>1962</v>
      </c>
      <c r="G698" s="11" t="s">
        <v>149</v>
      </c>
      <c r="H698" s="18" t="str">
        <f>IFERROR(INDEX('المحافظات Governorates'!$E$2:$E$151,MATCH(D698,'المحافظات Governorates'!$A$2:$A$151,0)),"")</f>
        <v>Al-Bukayriyah</v>
      </c>
      <c r="I698" s="18" t="str">
        <f>IFERROR(INDEX('المناطق Regions'!$C$2:$C$15,MATCH(B698,'المناطق Regions'!$A$2:$A$15,0)),"")</f>
        <v>Al-Qassim</v>
      </c>
      <c r="J698" s="18" t="str">
        <f>F698&amp;", "&amp;E698&amp;", Saudi Arabia"</f>
        <v>الفيضه, البكيريه, Saudi Arabia</v>
      </c>
      <c r="K698" s="18">
        <v>26.636993</v>
      </c>
      <c r="L698" s="18">
        <v>42.67878</v>
      </c>
      <c r="M698" s="18">
        <v>2000</v>
      </c>
      <c r="N698" s="18" t="s">
        <v>562</v>
      </c>
    </row>
    <row r="699" ht="15" customHeight="1" spans="1:14" x14ac:dyDescent="0.25">
      <c r="A699" s="13" t="s">
        <v>1963</v>
      </c>
      <c r="B699" s="13">
        <v>4</v>
      </c>
      <c r="C699" s="14" t="s">
        <v>55</v>
      </c>
      <c r="D699" s="13" t="s">
        <v>271</v>
      </c>
      <c r="E699" s="14" t="s">
        <v>272</v>
      </c>
      <c r="F699" s="14" t="s">
        <v>1964</v>
      </c>
      <c r="G699" s="13" t="s">
        <v>149</v>
      </c>
      <c r="H699" s="18" t="str">
        <f>IFERROR(INDEX('المحافظات Governorates'!$E$2:$E$151,MATCH(D699,'المحافظات Governorates'!$A$2:$A$151,0)),"")</f>
        <v>Al-Bukayriyah</v>
      </c>
      <c r="I699" s="18" t="str">
        <f>IFERROR(INDEX('المناطق Regions'!$C$2:$C$15,MATCH(B699,'المناطق Regions'!$A$2:$A$15,0)),"")</f>
        <v>Al-Qassim</v>
      </c>
      <c r="J699" s="18" t="str">
        <f>F699&amp;", "&amp;E699&amp;", Saudi Arabia"</f>
        <v>النجبة, البكيريه, Saudi Arabia</v>
      </c>
      <c r="K699" s="18">
        <v>26.595833</v>
      </c>
      <c r="L699" s="18">
        <v>42.735833</v>
      </c>
      <c r="M699" s="18">
        <v>2000</v>
      </c>
      <c r="N699" s="18" t="s">
        <v>562</v>
      </c>
    </row>
    <row r="700" ht="15" customHeight="1" spans="1:14" x14ac:dyDescent="0.25">
      <c r="A700" s="11" t="s">
        <v>1965</v>
      </c>
      <c r="B700" s="11">
        <v>4</v>
      </c>
      <c r="C700" s="12" t="s">
        <v>55</v>
      </c>
      <c r="D700" s="11" t="s">
        <v>271</v>
      </c>
      <c r="E700" s="12" t="s">
        <v>272</v>
      </c>
      <c r="F700" s="12" t="s">
        <v>1966</v>
      </c>
      <c r="G700" s="11" t="s">
        <v>149</v>
      </c>
      <c r="H700" s="18" t="str">
        <f>IFERROR(INDEX('المحافظات Governorates'!$E$2:$E$151,MATCH(D700,'المحافظات Governorates'!$A$2:$A$151,0)),"")</f>
        <v>Al-Bukayriyah</v>
      </c>
      <c r="I700" s="18" t="str">
        <f>IFERROR(INDEX('المناطق Regions'!$C$2:$C$15,MATCH(B700,'المناطق Regions'!$A$2:$A$15,0)),"")</f>
        <v>Al-Qassim</v>
      </c>
      <c r="J700" s="18" t="str">
        <f>F700&amp;", "&amp;E700&amp;", Saudi Arabia"</f>
        <v>ساق, البكيريه, Saudi Arabia</v>
      </c>
      <c r="K700" s="18">
        <v>26.321182</v>
      </c>
      <c r="L700" s="18">
        <v>43.276348</v>
      </c>
      <c r="M700" s="18">
        <v>2000</v>
      </c>
      <c r="N700" s="18" t="s">
        <v>562</v>
      </c>
    </row>
    <row r="701" ht="15" customHeight="1" spans="1:14" x14ac:dyDescent="0.25">
      <c r="A701" s="13" t="s">
        <v>1967</v>
      </c>
      <c r="B701" s="13">
        <v>4</v>
      </c>
      <c r="C701" s="14" t="s">
        <v>55</v>
      </c>
      <c r="D701" s="13" t="s">
        <v>274</v>
      </c>
      <c r="E701" s="14" t="s">
        <v>275</v>
      </c>
      <c r="F701" s="14" t="s">
        <v>1968</v>
      </c>
      <c r="G701" s="13" t="s">
        <v>113</v>
      </c>
      <c r="H701" s="18" t="str">
        <f>IFERROR(INDEX('المحافظات Governorates'!$E$2:$E$151,MATCH(D701,'المحافظات Governorates'!$A$2:$A$151,0)),"")</f>
        <v>Al-Badai</v>
      </c>
      <c r="I701" s="18" t="str">
        <f>IFERROR(INDEX('المناطق Regions'!$C$2:$C$15,MATCH(B701,'المناطق Regions'!$A$2:$A$15,0)),"")</f>
        <v>Al-Qassim</v>
      </c>
      <c r="J701" s="18" t="str">
        <f>F701&amp;", "&amp;E701&amp;", Saudi Arabia"</f>
        <v>الأبرق, البدائع, Saudi Arabia</v>
      </c>
      <c r="K701" s="18">
        <v>25.866678</v>
      </c>
      <c r="L701" s="18">
        <v>43.814088</v>
      </c>
      <c r="M701" s="18">
        <v>2000</v>
      </c>
      <c r="N701" s="18" t="s">
        <v>562</v>
      </c>
    </row>
    <row r="702" ht="15" customHeight="1" spans="1:14" x14ac:dyDescent="0.25">
      <c r="A702" s="11" t="s">
        <v>1969</v>
      </c>
      <c r="B702" s="11">
        <v>4</v>
      </c>
      <c r="C702" s="12" t="s">
        <v>55</v>
      </c>
      <c r="D702" s="11" t="s">
        <v>274</v>
      </c>
      <c r="E702" s="12" t="s">
        <v>275</v>
      </c>
      <c r="F702" s="12" t="s">
        <v>1970</v>
      </c>
      <c r="G702" s="11" t="s">
        <v>113</v>
      </c>
      <c r="H702" s="18" t="str">
        <f>IFERROR(INDEX('المحافظات Governorates'!$E$2:$E$151,MATCH(D702,'المحافظات Governorates'!$A$2:$A$151,0)),"")</f>
        <v>Al-Badai</v>
      </c>
      <c r="I702" s="18" t="str">
        <f>IFERROR(INDEX('المناطق Regions'!$C$2:$C$15,MATCH(B702,'المناطق Regions'!$A$2:$A$15,0)),"")</f>
        <v>Al-Qassim</v>
      </c>
      <c r="J702" s="18" t="str">
        <f>F702&amp;", "&amp;E702&amp;", Saudi Arabia"</f>
        <v>دهيماء, البدائع, Saudi Arabia</v>
      </c>
      <c r="K702" s="18">
        <v>25.52837</v>
      </c>
      <c r="L702" s="18">
        <v>43.836981</v>
      </c>
      <c r="M702" s="18">
        <v>2000</v>
      </c>
      <c r="N702" s="18" t="s">
        <v>562</v>
      </c>
    </row>
    <row r="703" ht="15" customHeight="1" spans="1:14" x14ac:dyDescent="0.25">
      <c r="A703" s="13" t="s">
        <v>1971</v>
      </c>
      <c r="B703" s="13">
        <v>4</v>
      </c>
      <c r="C703" s="14" t="s">
        <v>55</v>
      </c>
      <c r="D703" s="13" t="s">
        <v>274</v>
      </c>
      <c r="E703" s="14" t="s">
        <v>275</v>
      </c>
      <c r="F703" s="14" t="s">
        <v>1972</v>
      </c>
      <c r="G703" s="13" t="s">
        <v>149</v>
      </c>
      <c r="H703" s="18" t="str">
        <f>IFERROR(INDEX('المحافظات Governorates'!$E$2:$E$151,MATCH(D703,'المحافظات Governorates'!$A$2:$A$151,0)),"")</f>
        <v>Al-Badai</v>
      </c>
      <c r="I703" s="18" t="str">
        <f>IFERROR(INDEX('المناطق Regions'!$C$2:$C$15,MATCH(B703,'المناطق Regions'!$A$2:$A$15,0)),"")</f>
        <v>Al-Qassim</v>
      </c>
      <c r="J703" s="18" t="str">
        <f>F703&amp;", "&amp;E703&amp;", Saudi Arabia"</f>
        <v>علباء, البدائع, Saudi Arabia</v>
      </c>
      <c r="K703" s="18">
        <v>25.49477</v>
      </c>
      <c r="L703" s="18">
        <v>43.849026</v>
      </c>
      <c r="M703" s="18">
        <v>2000</v>
      </c>
      <c r="N703" s="18" t="s">
        <v>562</v>
      </c>
    </row>
    <row r="704" ht="15" customHeight="1" spans="1:14" x14ac:dyDescent="0.25">
      <c r="A704" s="11" t="s">
        <v>1973</v>
      </c>
      <c r="B704" s="11">
        <v>4</v>
      </c>
      <c r="C704" s="12" t="s">
        <v>55</v>
      </c>
      <c r="D704" s="11" t="s">
        <v>274</v>
      </c>
      <c r="E704" s="12" t="s">
        <v>275</v>
      </c>
      <c r="F704" s="12" t="s">
        <v>1974</v>
      </c>
      <c r="G704" s="11" t="s">
        <v>113</v>
      </c>
      <c r="H704" s="18" t="str">
        <f>IFERROR(INDEX('المحافظات Governorates'!$E$2:$E$151,MATCH(D704,'المحافظات Governorates'!$A$2:$A$151,0)),"")</f>
        <v>Al-Badai</v>
      </c>
      <c r="I704" s="18" t="str">
        <f>IFERROR(INDEX('المناطق Regions'!$C$2:$C$15,MATCH(B704,'المناطق Regions'!$A$2:$A$15,0)),"")</f>
        <v>Al-Qassim</v>
      </c>
      <c r="J704" s="18" t="str">
        <f>F704&amp;", "&amp;E704&amp;", Saudi Arabia"</f>
        <v>الاحمدية, البدائع, Saudi Arabia</v>
      </c>
      <c r="K704" s="18">
        <v>25.762617</v>
      </c>
      <c r="L704" s="18">
        <v>43.787922</v>
      </c>
      <c r="M704" s="18">
        <v>2000</v>
      </c>
      <c r="N704" s="18" t="s">
        <v>562</v>
      </c>
    </row>
    <row r="705" ht="15" customHeight="1" spans="1:14" x14ac:dyDescent="0.25">
      <c r="A705" s="13" t="s">
        <v>1975</v>
      </c>
      <c r="B705" s="13">
        <v>4</v>
      </c>
      <c r="C705" s="14" t="s">
        <v>55</v>
      </c>
      <c r="D705" s="13" t="s">
        <v>277</v>
      </c>
      <c r="E705" s="14" t="s">
        <v>278</v>
      </c>
      <c r="F705" s="14" t="s">
        <v>1976</v>
      </c>
      <c r="G705" s="13" t="s">
        <v>113</v>
      </c>
      <c r="H705" s="18" t="str">
        <f>IFERROR(INDEX('المحافظات Governorates'!$E$2:$E$151,MATCH(D705,'المحافظات Governorates'!$A$2:$A$151,0)),"")</f>
        <v>Al-Asyah</v>
      </c>
      <c r="I705" s="18" t="str">
        <f>IFERROR(INDEX('المناطق Regions'!$C$2:$C$15,MATCH(B705,'المناطق Regions'!$A$2:$A$15,0)),"")</f>
        <v>Al-Qassim</v>
      </c>
      <c r="J705" s="18" t="str">
        <f>F705&amp;", "&amp;E705&amp;", Saudi Arabia"</f>
        <v>خصيبه, الأسياح, Saudi Arabia</v>
      </c>
      <c r="K705" s="18">
        <v>26.880391</v>
      </c>
      <c r="L705" s="18">
        <v>44.154436</v>
      </c>
      <c r="M705" s="18">
        <v>2000</v>
      </c>
      <c r="N705" s="18" t="s">
        <v>562</v>
      </c>
    </row>
    <row r="706" ht="15" customHeight="1" spans="1:14" x14ac:dyDescent="0.25">
      <c r="A706" s="11" t="s">
        <v>1977</v>
      </c>
      <c r="B706" s="11">
        <v>4</v>
      </c>
      <c r="C706" s="12" t="s">
        <v>55</v>
      </c>
      <c r="D706" s="11" t="s">
        <v>277</v>
      </c>
      <c r="E706" s="12" t="s">
        <v>278</v>
      </c>
      <c r="F706" s="12" t="s">
        <v>1978</v>
      </c>
      <c r="G706" s="11" t="s">
        <v>113</v>
      </c>
      <c r="H706" s="18" t="str">
        <f>IFERROR(INDEX('المحافظات Governorates'!$E$2:$E$151,MATCH(D706,'المحافظات Governorates'!$A$2:$A$151,0)),"")</f>
        <v>Al-Asyah</v>
      </c>
      <c r="I706" s="18" t="str">
        <f>IFERROR(INDEX('المناطق Regions'!$C$2:$C$15,MATCH(B706,'المناطق Regions'!$A$2:$A$15,0)),"")</f>
        <v>Al-Qassim</v>
      </c>
      <c r="J706" s="18" t="str">
        <f>F706&amp;", "&amp;E706&amp;", Saudi Arabia"</f>
        <v>ابا الورود, الأسياح, Saudi Arabia</v>
      </c>
      <c r="K706" s="18">
        <v>27.023029</v>
      </c>
      <c r="L706" s="18">
        <v>44.075798</v>
      </c>
      <c r="M706" s="18">
        <v>2000</v>
      </c>
      <c r="N706" s="18" t="s">
        <v>562</v>
      </c>
    </row>
    <row r="707" ht="15" customHeight="1" spans="1:14" x14ac:dyDescent="0.25">
      <c r="A707" s="13" t="s">
        <v>1979</v>
      </c>
      <c r="B707" s="13">
        <v>4</v>
      </c>
      <c r="C707" s="14" t="s">
        <v>55</v>
      </c>
      <c r="D707" s="13" t="s">
        <v>277</v>
      </c>
      <c r="E707" s="14" t="s">
        <v>278</v>
      </c>
      <c r="F707" s="14" t="s">
        <v>1980</v>
      </c>
      <c r="G707" s="13" t="s">
        <v>113</v>
      </c>
      <c r="H707" s="18" t="str">
        <f>IFERROR(INDEX('المحافظات Governorates'!$E$2:$E$151,MATCH(D707,'المحافظات Governorates'!$A$2:$A$151,0)),"")</f>
        <v>Al-Asyah</v>
      </c>
      <c r="I707" s="18" t="str">
        <f>IFERROR(INDEX('المناطق Regions'!$C$2:$C$15,MATCH(B707,'المناطق Regions'!$A$2:$A$15,0)),"")</f>
        <v>Al-Qassim</v>
      </c>
      <c r="J707" s="18" t="str">
        <f>F707&amp;", "&amp;E707&amp;", Saudi Arabia"</f>
        <v>ضيده, الأسياح, Saudi Arabia</v>
      </c>
      <c r="K707" s="18">
        <v>27.139823</v>
      </c>
      <c r="L707" s="18">
        <v>43.976677</v>
      </c>
      <c r="M707" s="18">
        <v>2000</v>
      </c>
      <c r="N707" s="18" t="s">
        <v>562</v>
      </c>
    </row>
    <row r="708" ht="15" customHeight="1" spans="1:14" x14ac:dyDescent="0.25">
      <c r="A708" s="11" t="s">
        <v>1981</v>
      </c>
      <c r="B708" s="11">
        <v>4</v>
      </c>
      <c r="C708" s="12" t="s">
        <v>55</v>
      </c>
      <c r="D708" s="11" t="s">
        <v>277</v>
      </c>
      <c r="E708" s="12" t="s">
        <v>278</v>
      </c>
      <c r="F708" s="12" t="s">
        <v>1982</v>
      </c>
      <c r="G708" s="11" t="s">
        <v>149</v>
      </c>
      <c r="H708" s="18" t="str">
        <f>IFERROR(INDEX('المحافظات Governorates'!$E$2:$E$151,MATCH(D708,'المحافظات Governorates'!$A$2:$A$151,0)),"")</f>
        <v>Al-Asyah</v>
      </c>
      <c r="I708" s="18" t="str">
        <f>IFERROR(INDEX('المناطق Regions'!$C$2:$C$15,MATCH(B708,'المناطق Regions'!$A$2:$A$15,0)),"")</f>
        <v>Al-Qassim</v>
      </c>
      <c r="J708" s="18" t="str">
        <f>F708&amp;", "&amp;E708&amp;", Saudi Arabia"</f>
        <v>حنيظل, الأسياح, Saudi Arabia</v>
      </c>
      <c r="K708" s="18">
        <v>26.975919</v>
      </c>
      <c r="L708" s="18">
        <v>44.09865</v>
      </c>
      <c r="M708" s="18">
        <v>2000</v>
      </c>
      <c r="N708" s="18" t="s">
        <v>562</v>
      </c>
    </row>
    <row r="709" ht="15" customHeight="1" spans="1:14" x14ac:dyDescent="0.25">
      <c r="A709" s="13" t="s">
        <v>1983</v>
      </c>
      <c r="B709" s="13">
        <v>4</v>
      </c>
      <c r="C709" s="14" t="s">
        <v>55</v>
      </c>
      <c r="D709" s="13" t="s">
        <v>277</v>
      </c>
      <c r="E709" s="14" t="s">
        <v>278</v>
      </c>
      <c r="F709" s="14" t="s">
        <v>1984</v>
      </c>
      <c r="G709" s="13" t="s">
        <v>149</v>
      </c>
      <c r="H709" s="18" t="str">
        <f>IFERROR(INDEX('المحافظات Governorates'!$E$2:$E$151,MATCH(D709,'المحافظات Governorates'!$A$2:$A$151,0)),"")</f>
        <v>Al-Asyah</v>
      </c>
      <c r="I709" s="18" t="str">
        <f>IFERROR(INDEX('المناطق Regions'!$C$2:$C$15,MATCH(B709,'المناطق Regions'!$A$2:$A$15,0)),"")</f>
        <v>Al-Qassim</v>
      </c>
      <c r="J709" s="18" t="str">
        <f>F709&amp;", "&amp;E709&amp;", Saudi Arabia"</f>
        <v>طريف الاسياح, الأسياح, Saudi Arabia</v>
      </c>
      <c r="K709" s="18">
        <v>26.825347</v>
      </c>
      <c r="L709" s="18">
        <v>44.179868</v>
      </c>
      <c r="M709" s="18">
        <v>2000</v>
      </c>
      <c r="N709" s="18" t="s">
        <v>562</v>
      </c>
    </row>
    <row r="710" ht="15" customHeight="1" spans="1:14" x14ac:dyDescent="0.25">
      <c r="A710" s="11" t="s">
        <v>1985</v>
      </c>
      <c r="B710" s="11">
        <v>4</v>
      </c>
      <c r="C710" s="12" t="s">
        <v>55</v>
      </c>
      <c r="D710" s="11" t="s">
        <v>277</v>
      </c>
      <c r="E710" s="12" t="s">
        <v>278</v>
      </c>
      <c r="F710" s="12" t="s">
        <v>703</v>
      </c>
      <c r="G710" s="11" t="s">
        <v>149</v>
      </c>
      <c r="H710" s="18" t="str">
        <f>IFERROR(INDEX('المحافظات Governorates'!$E$2:$E$151,MATCH(D710,'المحافظات Governorates'!$A$2:$A$151,0)),"")</f>
        <v>Al-Asyah</v>
      </c>
      <c r="I710" s="18" t="str">
        <f>IFERROR(INDEX('المناطق Regions'!$C$2:$C$15,MATCH(B710,'المناطق Regions'!$A$2:$A$15,0)),"")</f>
        <v>Al-Qassim</v>
      </c>
      <c r="J710" s="18" t="str">
        <f>F710&amp;", "&amp;E710&amp;", Saudi Arabia"</f>
        <v>البرود, الأسياح, Saudi Arabia</v>
      </c>
      <c r="K710" s="18">
        <v>26.830782</v>
      </c>
      <c r="L710" s="18">
        <v>44.188</v>
      </c>
      <c r="M710" s="18">
        <v>2000</v>
      </c>
      <c r="N710" s="18" t="s">
        <v>562</v>
      </c>
    </row>
    <row r="711" ht="15" customHeight="1" spans="1:14" x14ac:dyDescent="0.25">
      <c r="A711" s="13" t="s">
        <v>1986</v>
      </c>
      <c r="B711" s="13">
        <v>4</v>
      </c>
      <c r="C711" s="14" t="s">
        <v>55</v>
      </c>
      <c r="D711" s="13" t="s">
        <v>277</v>
      </c>
      <c r="E711" s="14" t="s">
        <v>278</v>
      </c>
      <c r="F711" s="14" t="s">
        <v>1987</v>
      </c>
      <c r="G711" s="13" t="s">
        <v>113</v>
      </c>
      <c r="H711" s="18" t="str">
        <f>IFERROR(INDEX('المحافظات Governorates'!$E$2:$E$151,MATCH(D711,'المحافظات Governorates'!$A$2:$A$151,0)),"")</f>
        <v>Al-Asyah</v>
      </c>
      <c r="I711" s="18" t="str">
        <f>IFERROR(INDEX('المناطق Regions'!$C$2:$C$15,MATCH(B711,'المناطق Regions'!$A$2:$A$15,0)),"")</f>
        <v>Al-Qassim</v>
      </c>
      <c r="J711" s="18" t="str">
        <f>F711&amp;", "&amp;E711&amp;", Saudi Arabia"</f>
        <v>التنومه, الأسياح, Saudi Arabia</v>
      </c>
      <c r="K711" s="18">
        <v>26.864394</v>
      </c>
      <c r="L711" s="18">
        <v>44.167962</v>
      </c>
      <c r="M711" s="18">
        <v>2000</v>
      </c>
      <c r="N711" s="18" t="s">
        <v>562</v>
      </c>
    </row>
    <row r="712" ht="15" customHeight="1" spans="1:14" x14ac:dyDescent="0.25">
      <c r="A712" s="11" t="s">
        <v>1988</v>
      </c>
      <c r="B712" s="11">
        <v>4</v>
      </c>
      <c r="C712" s="12" t="s">
        <v>55</v>
      </c>
      <c r="D712" s="11" t="s">
        <v>277</v>
      </c>
      <c r="E712" s="12" t="s">
        <v>278</v>
      </c>
      <c r="F712" s="12" t="s">
        <v>1989</v>
      </c>
      <c r="G712" s="11" t="s">
        <v>113</v>
      </c>
      <c r="H712" s="18" t="str">
        <f>IFERROR(INDEX('المحافظات Governorates'!$E$2:$E$151,MATCH(D712,'المحافظات Governorates'!$A$2:$A$151,0)),"")</f>
        <v>Al-Asyah</v>
      </c>
      <c r="I712" s="18" t="str">
        <f>IFERROR(INDEX('المناطق Regions'!$C$2:$C$15,MATCH(B712,'المناطق Regions'!$A$2:$A$15,0)),"")</f>
        <v>Al-Qassim</v>
      </c>
      <c r="J712" s="18" t="str">
        <f>F712&amp;", "&amp;E712&amp;", Saudi Arabia"</f>
        <v>الجعله, الأسياح, Saudi Arabia</v>
      </c>
      <c r="K712" s="18">
        <v>26.690729</v>
      </c>
      <c r="L712" s="18">
        <v>44.32801</v>
      </c>
      <c r="M712" s="18">
        <v>2000</v>
      </c>
      <c r="N712" s="18" t="s">
        <v>562</v>
      </c>
    </row>
    <row r="713" ht="15" customHeight="1" spans="1:14" x14ac:dyDescent="0.25">
      <c r="A713" s="13" t="s">
        <v>1990</v>
      </c>
      <c r="B713" s="13">
        <v>4</v>
      </c>
      <c r="C713" s="14" t="s">
        <v>55</v>
      </c>
      <c r="D713" s="13" t="s">
        <v>277</v>
      </c>
      <c r="E713" s="14" t="s">
        <v>278</v>
      </c>
      <c r="F713" s="14" t="s">
        <v>1991</v>
      </c>
      <c r="G713" s="13" t="s">
        <v>149</v>
      </c>
      <c r="H713" s="18" t="str">
        <f>IFERROR(INDEX('المحافظات Governorates'!$E$2:$E$151,MATCH(D713,'المحافظات Governorates'!$A$2:$A$151,0)),"")</f>
        <v>Al-Asyah</v>
      </c>
      <c r="I713" s="18" t="str">
        <f>IFERROR(INDEX('المناطق Regions'!$C$2:$C$15,MATCH(B713,'المناطق Regions'!$A$2:$A$15,0)),"")</f>
        <v>Al-Qassim</v>
      </c>
      <c r="J713" s="18" t="str">
        <f>F713&amp;", "&amp;E713&amp;", Saudi Arabia"</f>
        <v>البندريه, الأسياح, Saudi Arabia</v>
      </c>
      <c r="K713" s="18">
        <v>26.597578</v>
      </c>
      <c r="L713" s="18">
        <v>44.274364</v>
      </c>
      <c r="M713" s="18">
        <v>2000</v>
      </c>
      <c r="N713" s="18" t="s">
        <v>562</v>
      </c>
    </row>
    <row r="714" ht="15" customHeight="1" spans="1:14" x14ac:dyDescent="0.25">
      <c r="A714" s="11" t="s">
        <v>1992</v>
      </c>
      <c r="B714" s="11">
        <v>4</v>
      </c>
      <c r="C714" s="12" t="s">
        <v>55</v>
      </c>
      <c r="D714" s="11" t="s">
        <v>277</v>
      </c>
      <c r="E714" s="12" t="s">
        <v>278</v>
      </c>
      <c r="F714" s="12" t="s">
        <v>1993</v>
      </c>
      <c r="G714" s="11" t="s">
        <v>149</v>
      </c>
      <c r="H714" s="18" t="str">
        <f>IFERROR(INDEX('المحافظات Governorates'!$E$2:$E$151,MATCH(D714,'المحافظات Governorates'!$A$2:$A$151,0)),"")</f>
        <v>Al-Asyah</v>
      </c>
      <c r="I714" s="18" t="str">
        <f>IFERROR(INDEX('المناطق Regions'!$C$2:$C$15,MATCH(B714,'المناطق Regions'!$A$2:$A$15,0)),"")</f>
        <v>Al-Qassim</v>
      </c>
      <c r="J714" s="18" t="str">
        <f>F714&amp;", "&amp;E714&amp;", Saudi Arabia"</f>
        <v>البعيث, الأسياح, Saudi Arabia</v>
      </c>
      <c r="K714" s="18">
        <v>27.414339</v>
      </c>
      <c r="L714" s="18">
        <v>44.29332</v>
      </c>
      <c r="M714" s="18">
        <v>117941</v>
      </c>
      <c r="N714" s="18" t="s">
        <v>1994</v>
      </c>
    </row>
    <row r="715" ht="15" customHeight="1" spans="1:14" x14ac:dyDescent="0.25">
      <c r="A715" s="13" t="s">
        <v>1995</v>
      </c>
      <c r="B715" s="13">
        <v>4</v>
      </c>
      <c r="C715" s="14" t="s">
        <v>55</v>
      </c>
      <c r="D715" s="13" t="s">
        <v>277</v>
      </c>
      <c r="E715" s="14" t="s">
        <v>278</v>
      </c>
      <c r="F715" s="14" t="s">
        <v>1996</v>
      </c>
      <c r="G715" s="13" t="s">
        <v>113</v>
      </c>
      <c r="H715" s="18" t="str">
        <f>IFERROR(INDEX('المحافظات Governorates'!$E$2:$E$151,MATCH(D715,'المحافظات Governorates'!$A$2:$A$151,0)),"")</f>
        <v>Al-Asyah</v>
      </c>
      <c r="I715" s="18" t="str">
        <f>IFERROR(INDEX('المناطق Regions'!$C$2:$C$15,MATCH(B715,'المناطق Regions'!$A$2:$A$15,0)),"")</f>
        <v>Al-Qassim</v>
      </c>
      <c r="J715" s="18" t="str">
        <f>F715&amp;", "&amp;E715&amp;", Saudi Arabia"</f>
        <v>قبه, الأسياح, Saudi Arabia</v>
      </c>
      <c r="K715" s="18">
        <v>27.346136</v>
      </c>
      <c r="L715" s="18">
        <v>44.329826</v>
      </c>
      <c r="M715" s="18">
        <v>2000</v>
      </c>
      <c r="N715" s="18" t="s">
        <v>562</v>
      </c>
    </row>
    <row r="716" ht="15" customHeight="1" spans="1:14" x14ac:dyDescent="0.25">
      <c r="A716" s="11" t="s">
        <v>1997</v>
      </c>
      <c r="B716" s="11">
        <v>4</v>
      </c>
      <c r="C716" s="12" t="s">
        <v>55</v>
      </c>
      <c r="D716" s="11" t="s">
        <v>280</v>
      </c>
      <c r="E716" s="12" t="s">
        <v>281</v>
      </c>
      <c r="F716" s="12" t="s">
        <v>1998</v>
      </c>
      <c r="G716" s="11" t="s">
        <v>113</v>
      </c>
      <c r="H716" s="18" t="str">
        <f>IFERROR(INDEX('المحافظات Governorates'!$E$2:$E$151,MATCH(D716,'المحافظات Governorates'!$A$2:$A$151,0)),"")</f>
        <v>An-Nabhaniyah</v>
      </c>
      <c r="I716" s="18" t="str">
        <f>IFERROR(INDEX('المناطق Regions'!$C$2:$C$15,MATCH(B716,'المناطق Regions'!$A$2:$A$15,0)),"")</f>
        <v>Al-Qassim</v>
      </c>
      <c r="J716" s="18" t="str">
        <f>F716&amp;", "&amp;E716&amp;", Saudi Arabia"</f>
        <v>ثادج, النبهانيه, Saudi Arabia</v>
      </c>
      <c r="K716" s="18">
        <v>25.858416</v>
      </c>
      <c r="L716" s="18">
        <v>42.801661</v>
      </c>
      <c r="M716" s="18">
        <v>2000</v>
      </c>
      <c r="N716" s="18" t="s">
        <v>562</v>
      </c>
    </row>
    <row r="717" ht="15" customHeight="1" spans="1:14" x14ac:dyDescent="0.25">
      <c r="A717" s="13" t="s">
        <v>1999</v>
      </c>
      <c r="B717" s="13">
        <v>4</v>
      </c>
      <c r="C717" s="14" t="s">
        <v>55</v>
      </c>
      <c r="D717" s="13" t="s">
        <v>280</v>
      </c>
      <c r="E717" s="14" t="s">
        <v>281</v>
      </c>
      <c r="F717" s="14" t="s">
        <v>2000</v>
      </c>
      <c r="G717" s="13" t="s">
        <v>113</v>
      </c>
      <c r="H717" s="18" t="str">
        <f>IFERROR(INDEX('المحافظات Governorates'!$E$2:$E$151,MATCH(D717,'المحافظات Governorates'!$A$2:$A$151,0)),"")</f>
        <v>An-Nabhaniyah</v>
      </c>
      <c r="I717" s="18" t="str">
        <f>IFERROR(INDEX('المناطق Regions'!$C$2:$C$15,MATCH(B717,'المناطق Regions'!$A$2:$A$15,0)),"")</f>
        <v>Al-Qassim</v>
      </c>
      <c r="J717" s="18" t="str">
        <f>F717&amp;", "&amp;E717&amp;", Saudi Arabia"</f>
        <v>ابانات, النبهانيه, Saudi Arabia</v>
      </c>
      <c r="K717" s="18">
        <v>25.444503</v>
      </c>
      <c r="L717" s="18">
        <v>42.703693</v>
      </c>
      <c r="M717" s="18">
        <v>2000</v>
      </c>
      <c r="N717" s="18" t="s">
        <v>562</v>
      </c>
    </row>
    <row r="718" ht="15" customHeight="1" spans="1:14" x14ac:dyDescent="0.25">
      <c r="A718" s="11" t="s">
        <v>2001</v>
      </c>
      <c r="B718" s="11">
        <v>4</v>
      </c>
      <c r="C718" s="12" t="s">
        <v>55</v>
      </c>
      <c r="D718" s="11" t="s">
        <v>280</v>
      </c>
      <c r="E718" s="12" t="s">
        <v>281</v>
      </c>
      <c r="F718" s="12" t="s">
        <v>2002</v>
      </c>
      <c r="G718" s="11" t="s">
        <v>113</v>
      </c>
      <c r="H718" s="18" t="str">
        <f>IFERROR(INDEX('المحافظات Governorates'!$E$2:$E$151,MATCH(D718,'المحافظات Governorates'!$A$2:$A$151,0)),"")</f>
        <v>An-Nabhaniyah</v>
      </c>
      <c r="I718" s="18" t="str">
        <f>IFERROR(INDEX('المناطق Regions'!$C$2:$C$15,MATCH(B718,'المناطق Regions'!$A$2:$A$15,0)),"")</f>
        <v>Al-Qassim</v>
      </c>
      <c r="J718" s="18" t="str">
        <f>F718&amp;", "&amp;E718&amp;", Saudi Arabia"</f>
        <v>اللغفيه, النبهانيه, Saudi Arabia</v>
      </c>
      <c r="K718" s="18">
        <v>25.653252</v>
      </c>
      <c r="L718" s="18">
        <v>42.652112</v>
      </c>
      <c r="M718" s="18">
        <v>2000</v>
      </c>
      <c r="N718" s="18" t="s">
        <v>562</v>
      </c>
    </row>
    <row r="719" ht="15" customHeight="1" spans="1:14" x14ac:dyDescent="0.25">
      <c r="A719" s="13" t="s">
        <v>2003</v>
      </c>
      <c r="B719" s="13">
        <v>4</v>
      </c>
      <c r="C719" s="14" t="s">
        <v>55</v>
      </c>
      <c r="D719" s="13" t="s">
        <v>280</v>
      </c>
      <c r="E719" s="14" t="s">
        <v>281</v>
      </c>
      <c r="F719" s="14" t="s">
        <v>2004</v>
      </c>
      <c r="G719" s="13" t="s">
        <v>149</v>
      </c>
      <c r="H719" s="18" t="str">
        <f>IFERROR(INDEX('المحافظات Governorates'!$E$2:$E$151,MATCH(D719,'المحافظات Governorates'!$A$2:$A$151,0)),"")</f>
        <v>An-Nabhaniyah</v>
      </c>
      <c r="I719" s="18" t="str">
        <f>IFERROR(INDEX('المناطق Regions'!$C$2:$C$15,MATCH(B719,'المناطق Regions'!$A$2:$A$15,0)),"")</f>
        <v>Al-Qassim</v>
      </c>
      <c r="J719" s="18" t="str">
        <f>F719&amp;", "&amp;E719&amp;", Saudi Arabia"</f>
        <v>القيصومه, النبهانيه, Saudi Arabia</v>
      </c>
      <c r="K719" s="18">
        <v>25.741571</v>
      </c>
      <c r="L719" s="18">
        <v>43.177538</v>
      </c>
      <c r="M719" s="18">
        <v>2000</v>
      </c>
      <c r="N719" s="18" t="s">
        <v>562</v>
      </c>
    </row>
    <row r="720" ht="15" customHeight="1" spans="1:14" x14ac:dyDescent="0.25">
      <c r="A720" s="11" t="s">
        <v>2005</v>
      </c>
      <c r="B720" s="11">
        <v>4</v>
      </c>
      <c r="C720" s="12" t="s">
        <v>55</v>
      </c>
      <c r="D720" s="11" t="s">
        <v>280</v>
      </c>
      <c r="E720" s="12" t="s">
        <v>281</v>
      </c>
      <c r="F720" s="12" t="s">
        <v>2006</v>
      </c>
      <c r="G720" s="11" t="s">
        <v>113</v>
      </c>
      <c r="H720" s="18" t="str">
        <f>IFERROR(INDEX('المحافظات Governorates'!$E$2:$E$151,MATCH(D720,'المحافظات Governorates'!$A$2:$A$151,0)),"")</f>
        <v>An-Nabhaniyah</v>
      </c>
      <c r="I720" s="18" t="str">
        <f>IFERROR(INDEX('المناطق Regions'!$C$2:$C$15,MATCH(B720,'المناطق Regions'!$A$2:$A$15,0)),"")</f>
        <v>Al-Qassim</v>
      </c>
      <c r="J720" s="18" t="str">
        <f>F720&amp;", "&amp;E720&amp;", Saudi Arabia"</f>
        <v>البتراء, النبهانيه, Saudi Arabia</v>
      </c>
      <c r="K720" s="18">
        <v>25.940481</v>
      </c>
      <c r="L720" s="18">
        <v>42.949821</v>
      </c>
      <c r="M720" s="18">
        <v>2000</v>
      </c>
      <c r="N720" s="18" t="s">
        <v>562</v>
      </c>
    </row>
    <row r="721" ht="15" customHeight="1" spans="1:14" x14ac:dyDescent="0.25">
      <c r="A721" s="13" t="s">
        <v>2007</v>
      </c>
      <c r="B721" s="13">
        <v>4</v>
      </c>
      <c r="C721" s="14" t="s">
        <v>55</v>
      </c>
      <c r="D721" s="13" t="s">
        <v>280</v>
      </c>
      <c r="E721" s="14" t="s">
        <v>281</v>
      </c>
      <c r="F721" s="14" t="s">
        <v>1063</v>
      </c>
      <c r="G721" s="13" t="s">
        <v>113</v>
      </c>
      <c r="H721" s="18" t="str">
        <f>IFERROR(INDEX('المحافظات Governorates'!$E$2:$E$151,MATCH(D721,'المحافظات Governorates'!$A$2:$A$151,0)),"")</f>
        <v>An-Nabhaniyah</v>
      </c>
      <c r="I721" s="18" t="str">
        <f>IFERROR(INDEX('المناطق Regions'!$C$2:$C$15,MATCH(B721,'المناطق Regions'!$A$2:$A$15,0)),"")</f>
        <v>Al-Qassim</v>
      </c>
      <c r="J721" s="18" t="str">
        <f>F721&amp;", "&amp;E721&amp;", Saudi Arabia"</f>
        <v>الروضه, النبهانيه, Saudi Arabia</v>
      </c>
      <c r="K721" s="18">
        <v>25.550541</v>
      </c>
      <c r="L721" s="18">
        <v>42.701552</v>
      </c>
      <c r="M721" s="18">
        <v>2000</v>
      </c>
      <c r="N721" s="18" t="s">
        <v>562</v>
      </c>
    </row>
    <row r="722" ht="15" customHeight="1" spans="1:14" x14ac:dyDescent="0.25">
      <c r="A722" s="11" t="s">
        <v>2008</v>
      </c>
      <c r="B722" s="11">
        <v>4</v>
      </c>
      <c r="C722" s="12" t="s">
        <v>55</v>
      </c>
      <c r="D722" s="11" t="s">
        <v>280</v>
      </c>
      <c r="E722" s="12" t="s">
        <v>281</v>
      </c>
      <c r="F722" s="12" t="s">
        <v>2009</v>
      </c>
      <c r="G722" s="11" t="s">
        <v>113</v>
      </c>
      <c r="H722" s="18" t="str">
        <f>IFERROR(INDEX('المحافظات Governorates'!$E$2:$E$151,MATCH(D722,'المحافظات Governorates'!$A$2:$A$151,0)),"")</f>
        <v>An-Nabhaniyah</v>
      </c>
      <c r="I722" s="18" t="str">
        <f>IFERROR(INDEX('المناطق Regions'!$C$2:$C$15,MATCH(B722,'المناطق Regions'!$A$2:$A$15,0)),"")</f>
        <v>Al-Qassim</v>
      </c>
      <c r="J722" s="18" t="str">
        <f>F722&amp;", "&amp;E722&amp;", Saudi Arabia"</f>
        <v>عطاء, النبهانيه, Saudi Arabia</v>
      </c>
      <c r="K722" s="18">
        <v>25.709344</v>
      </c>
      <c r="L722" s="18">
        <v>42.72595</v>
      </c>
      <c r="M722" s="18">
        <v>2000</v>
      </c>
      <c r="N722" s="18" t="s">
        <v>562</v>
      </c>
    </row>
    <row r="723" ht="15" customHeight="1" spans="1:14" x14ac:dyDescent="0.25">
      <c r="A723" s="13" t="s">
        <v>2010</v>
      </c>
      <c r="B723" s="13">
        <v>4</v>
      </c>
      <c r="C723" s="14" t="s">
        <v>55</v>
      </c>
      <c r="D723" s="13" t="s">
        <v>280</v>
      </c>
      <c r="E723" s="14" t="s">
        <v>281</v>
      </c>
      <c r="F723" s="14" t="s">
        <v>2011</v>
      </c>
      <c r="G723" s="13" t="s">
        <v>113</v>
      </c>
      <c r="H723" s="18" t="str">
        <f>IFERROR(INDEX('المحافظات Governorates'!$E$2:$E$151,MATCH(D723,'المحافظات Governorates'!$A$2:$A$151,0)),"")</f>
        <v>An-Nabhaniyah</v>
      </c>
      <c r="I723" s="18" t="str">
        <f>IFERROR(INDEX('المناطق Regions'!$C$2:$C$15,MATCH(B723,'المناطق Regions'!$A$2:$A$15,0)),"")</f>
        <v>Al-Qassim</v>
      </c>
      <c r="J723" s="18" t="str">
        <f>F723&amp;", "&amp;E723&amp;", Saudi Arabia"</f>
        <v>عطي, النبهانيه, Saudi Arabia</v>
      </c>
      <c r="K723" s="18">
        <v>25.755125</v>
      </c>
      <c r="L723" s="18">
        <v>42.769582</v>
      </c>
      <c r="M723" s="18">
        <v>2000</v>
      </c>
      <c r="N723" s="18" t="s">
        <v>562</v>
      </c>
    </row>
    <row r="724" ht="15" customHeight="1" spans="1:14" x14ac:dyDescent="0.25">
      <c r="A724" s="11" t="s">
        <v>2012</v>
      </c>
      <c r="B724" s="11">
        <v>4</v>
      </c>
      <c r="C724" s="12" t="s">
        <v>55</v>
      </c>
      <c r="D724" s="11" t="s">
        <v>280</v>
      </c>
      <c r="E724" s="12" t="s">
        <v>281</v>
      </c>
      <c r="F724" s="12" t="s">
        <v>2013</v>
      </c>
      <c r="G724" s="11" t="s">
        <v>113</v>
      </c>
      <c r="H724" s="18" t="str">
        <f>IFERROR(INDEX('المحافظات Governorates'!$E$2:$E$151,MATCH(D724,'المحافظات Governorates'!$A$2:$A$151,0)),"")</f>
        <v>An-Nabhaniyah</v>
      </c>
      <c r="I724" s="18" t="str">
        <f>IFERROR(INDEX('المناطق Regions'!$C$2:$C$15,MATCH(B724,'المناطق Regions'!$A$2:$A$15,0)),"")</f>
        <v>Al-Qassim</v>
      </c>
      <c r="J724" s="18" t="str">
        <f>F724&amp;", "&amp;E724&amp;", Saudi Arabia"</f>
        <v>الهمجه, النبهانيه, Saudi Arabia</v>
      </c>
      <c r="K724" s="18">
        <v>25.495894</v>
      </c>
      <c r="L724" s="18">
        <v>43.068831</v>
      </c>
      <c r="M724" s="18">
        <v>2000</v>
      </c>
      <c r="N724" s="18" t="s">
        <v>562</v>
      </c>
    </row>
    <row r="725" ht="15" customHeight="1" spans="1:14" x14ac:dyDescent="0.25">
      <c r="A725" s="13" t="s">
        <v>2014</v>
      </c>
      <c r="B725" s="13">
        <v>4</v>
      </c>
      <c r="C725" s="14" t="s">
        <v>55</v>
      </c>
      <c r="D725" s="13" t="s">
        <v>280</v>
      </c>
      <c r="E725" s="14" t="s">
        <v>281</v>
      </c>
      <c r="F725" s="14" t="s">
        <v>2015</v>
      </c>
      <c r="G725" s="13" t="s">
        <v>149</v>
      </c>
      <c r="H725" s="18" t="str">
        <f>IFERROR(INDEX('المحافظات Governorates'!$E$2:$E$151,MATCH(D725,'المحافظات Governorates'!$A$2:$A$151,0)),"")</f>
        <v>An-Nabhaniyah</v>
      </c>
      <c r="I725" s="18" t="str">
        <f>IFERROR(INDEX('المناطق Regions'!$C$2:$C$15,MATCH(B725,'المناطق Regions'!$A$2:$A$15,0)),"")</f>
        <v>Al-Qassim</v>
      </c>
      <c r="J725" s="18" t="str">
        <f>F725&amp;", "&amp;E725&amp;", Saudi Arabia"</f>
        <v>خضراء, النبهانيه, Saudi Arabia</v>
      </c>
      <c r="K725" s="18">
        <v>25.493199</v>
      </c>
      <c r="L725" s="18">
        <v>42.996753</v>
      </c>
      <c r="M725" s="18">
        <v>2000</v>
      </c>
      <c r="N725" s="18" t="s">
        <v>562</v>
      </c>
    </row>
    <row r="726" ht="15" customHeight="1" spans="1:14" x14ac:dyDescent="0.25">
      <c r="A726" s="11" t="s">
        <v>2016</v>
      </c>
      <c r="B726" s="11">
        <v>4</v>
      </c>
      <c r="C726" s="12" t="s">
        <v>55</v>
      </c>
      <c r="D726" s="11" t="s">
        <v>280</v>
      </c>
      <c r="E726" s="12" t="s">
        <v>281</v>
      </c>
      <c r="F726" s="12" t="s">
        <v>2017</v>
      </c>
      <c r="G726" s="11" t="s">
        <v>149</v>
      </c>
      <c r="H726" s="18" t="str">
        <f>IFERROR(INDEX('المحافظات Governorates'!$E$2:$E$151,MATCH(D726,'المحافظات Governorates'!$A$2:$A$151,0)),"")</f>
        <v>An-Nabhaniyah</v>
      </c>
      <c r="I726" s="18" t="str">
        <f>IFERROR(INDEX('المناطق Regions'!$C$2:$C$15,MATCH(B726,'المناطق Regions'!$A$2:$A$15,0)),"")</f>
        <v>Al-Qassim</v>
      </c>
      <c r="J726" s="18" t="str">
        <f>F726&amp;", "&amp;E726&amp;", Saudi Arabia"</f>
        <v>الحنينيه, النبهانيه, Saudi Arabia</v>
      </c>
      <c r="K726" s="18">
        <v>25.514368</v>
      </c>
      <c r="L726" s="18">
        <v>42.963426</v>
      </c>
      <c r="M726" s="18">
        <v>2000</v>
      </c>
      <c r="N726" s="18" t="s">
        <v>562</v>
      </c>
    </row>
    <row r="727" ht="15" customHeight="1" spans="1:14" x14ac:dyDescent="0.25">
      <c r="A727" s="13" t="s">
        <v>2018</v>
      </c>
      <c r="B727" s="13">
        <v>4</v>
      </c>
      <c r="C727" s="14" t="s">
        <v>55</v>
      </c>
      <c r="D727" s="13" t="s">
        <v>280</v>
      </c>
      <c r="E727" s="14" t="s">
        <v>281</v>
      </c>
      <c r="F727" s="14" t="s">
        <v>2019</v>
      </c>
      <c r="G727" s="13" t="s">
        <v>149</v>
      </c>
      <c r="H727" s="18" t="str">
        <f>IFERROR(INDEX('المحافظات Governorates'!$E$2:$E$151,MATCH(D727,'المحافظات Governorates'!$A$2:$A$151,0)),"")</f>
        <v>An-Nabhaniyah</v>
      </c>
      <c r="I727" s="18" t="str">
        <f>IFERROR(INDEX('المناطق Regions'!$C$2:$C$15,MATCH(B727,'المناطق Regions'!$A$2:$A$15,0)),"")</f>
        <v>Al-Qassim</v>
      </c>
      <c r="J727" s="18" t="str">
        <f>F727&amp;", "&amp;E727&amp;", Saudi Arabia"</f>
        <v>المرموثه, النبهانيه, Saudi Arabia</v>
      </c>
      <c r="K727" s="18">
        <v>25.550293</v>
      </c>
      <c r="L727" s="18">
        <v>42.832433</v>
      </c>
      <c r="M727" s="18">
        <v>2000</v>
      </c>
      <c r="N727" s="18" t="s">
        <v>562</v>
      </c>
    </row>
    <row r="728" ht="15" customHeight="1" spans="1:14" x14ac:dyDescent="0.25">
      <c r="A728" s="11" t="s">
        <v>2020</v>
      </c>
      <c r="B728" s="11">
        <v>4</v>
      </c>
      <c r="C728" s="12" t="s">
        <v>55</v>
      </c>
      <c r="D728" s="11" t="s">
        <v>280</v>
      </c>
      <c r="E728" s="12" t="s">
        <v>281</v>
      </c>
      <c r="F728" s="12" t="s">
        <v>2021</v>
      </c>
      <c r="G728" s="11" t="s">
        <v>149</v>
      </c>
      <c r="H728" s="18" t="str">
        <f>IFERROR(INDEX('المحافظات Governorates'!$E$2:$E$151,MATCH(D728,'المحافظات Governorates'!$A$2:$A$151,0)),"")</f>
        <v>An-Nabhaniyah</v>
      </c>
      <c r="I728" s="18" t="str">
        <f>IFERROR(INDEX('المناطق Regions'!$C$2:$C$15,MATCH(B728,'المناطق Regions'!$A$2:$A$15,0)),"")</f>
        <v>Al-Qassim</v>
      </c>
      <c r="J728" s="18" t="str">
        <f>F728&amp;", "&amp;E728&amp;", Saudi Arabia"</f>
        <v>الزهيريه, النبهانيه, Saudi Arabia</v>
      </c>
      <c r="K728" s="18">
        <v>25.632104</v>
      </c>
      <c r="L728" s="18">
        <v>43.016701</v>
      </c>
      <c r="M728" s="18">
        <v>2000</v>
      </c>
      <c r="N728" s="18" t="s">
        <v>562</v>
      </c>
    </row>
    <row r="729" ht="15" customHeight="1" spans="1:14" x14ac:dyDescent="0.25">
      <c r="A729" s="13" t="s">
        <v>2022</v>
      </c>
      <c r="B729" s="13">
        <v>4</v>
      </c>
      <c r="C729" s="14" t="s">
        <v>55</v>
      </c>
      <c r="D729" s="13" t="s">
        <v>280</v>
      </c>
      <c r="E729" s="14" t="s">
        <v>281</v>
      </c>
      <c r="F729" s="14" t="s">
        <v>2023</v>
      </c>
      <c r="G729" s="13" t="s">
        <v>149</v>
      </c>
      <c r="H729" s="18" t="str">
        <f>IFERROR(INDEX('المحافظات Governorates'!$E$2:$E$151,MATCH(D729,'المحافظات Governorates'!$A$2:$A$151,0)),"")</f>
        <v>An-Nabhaniyah</v>
      </c>
      <c r="I729" s="18" t="str">
        <f>IFERROR(INDEX('المناطق Regions'!$C$2:$C$15,MATCH(B729,'المناطق Regions'!$A$2:$A$15,0)),"")</f>
        <v>Al-Qassim</v>
      </c>
      <c r="J729" s="18" t="str">
        <f>F729&amp;", "&amp;E729&amp;", Saudi Arabia"</f>
        <v>الصليبى, النبهانيه, Saudi Arabia</v>
      </c>
      <c r="K729" s="18">
        <v>25.62603</v>
      </c>
      <c r="L729" s="18">
        <v>43.043726</v>
      </c>
      <c r="M729" s="18">
        <v>2000</v>
      </c>
      <c r="N729" s="18" t="s">
        <v>562</v>
      </c>
    </row>
    <row r="730" ht="15" customHeight="1" spans="1:14" x14ac:dyDescent="0.25">
      <c r="A730" s="11" t="s">
        <v>2024</v>
      </c>
      <c r="B730" s="11">
        <v>4</v>
      </c>
      <c r="C730" s="12" t="s">
        <v>55</v>
      </c>
      <c r="D730" s="11" t="s">
        <v>280</v>
      </c>
      <c r="E730" s="12" t="s">
        <v>281</v>
      </c>
      <c r="F730" s="12" t="s">
        <v>2025</v>
      </c>
      <c r="G730" s="11" t="s">
        <v>149</v>
      </c>
      <c r="H730" s="18" t="str">
        <f>IFERROR(INDEX('المحافظات Governorates'!$E$2:$E$151,MATCH(D730,'المحافظات Governorates'!$A$2:$A$151,0)),"")</f>
        <v>An-Nabhaniyah</v>
      </c>
      <c r="I730" s="18" t="str">
        <f>IFERROR(INDEX('المناطق Regions'!$C$2:$C$15,MATCH(B730,'المناطق Regions'!$A$2:$A$15,0)),"")</f>
        <v>Al-Qassim</v>
      </c>
      <c r="J730" s="18" t="str">
        <f>F730&amp;", "&amp;E730&amp;", Saudi Arabia"</f>
        <v>الجرذاويه, النبهانيه, Saudi Arabia</v>
      </c>
      <c r="K730" s="18">
        <v>25.382501</v>
      </c>
      <c r="L730" s="18">
        <v>42.723668</v>
      </c>
      <c r="M730" s="18">
        <v>2000</v>
      </c>
      <c r="N730" s="18" t="s">
        <v>562</v>
      </c>
    </row>
    <row r="731" ht="15" customHeight="1" spans="1:14" x14ac:dyDescent="0.25">
      <c r="A731" s="13" t="s">
        <v>2026</v>
      </c>
      <c r="B731" s="13">
        <v>4</v>
      </c>
      <c r="C731" s="14" t="s">
        <v>55</v>
      </c>
      <c r="D731" s="13" t="s">
        <v>280</v>
      </c>
      <c r="E731" s="14" t="s">
        <v>281</v>
      </c>
      <c r="F731" s="14" t="s">
        <v>1625</v>
      </c>
      <c r="G731" s="13" t="s">
        <v>149</v>
      </c>
      <c r="H731" s="18" t="str">
        <f>IFERROR(INDEX('المحافظات Governorates'!$E$2:$E$151,MATCH(D731,'المحافظات Governorates'!$A$2:$A$151,0)),"")</f>
        <v>An-Nabhaniyah</v>
      </c>
      <c r="I731" s="18" t="str">
        <f>IFERROR(INDEX('المناطق Regions'!$C$2:$C$15,MATCH(B731,'المناطق Regions'!$A$2:$A$15,0)),"")</f>
        <v>Al-Qassim</v>
      </c>
      <c r="J731" s="18" t="str">
        <f>F731&amp;", "&amp;E731&amp;", Saudi Arabia"</f>
        <v>الركنه, النبهانيه, Saudi Arabia</v>
      </c>
      <c r="K731" s="18">
        <v>25.295149</v>
      </c>
      <c r="L731" s="18">
        <v>42.575032</v>
      </c>
      <c r="M731" s="18">
        <v>2000</v>
      </c>
      <c r="N731" s="18" t="s">
        <v>562</v>
      </c>
    </row>
    <row r="732" ht="15" customHeight="1" spans="1:14" x14ac:dyDescent="0.25">
      <c r="A732" s="11" t="s">
        <v>2027</v>
      </c>
      <c r="B732" s="11">
        <v>4</v>
      </c>
      <c r="C732" s="12" t="s">
        <v>55</v>
      </c>
      <c r="D732" s="11" t="s">
        <v>280</v>
      </c>
      <c r="E732" s="12" t="s">
        <v>281</v>
      </c>
      <c r="F732" s="12" t="s">
        <v>2028</v>
      </c>
      <c r="G732" s="11" t="s">
        <v>149</v>
      </c>
      <c r="H732" s="18" t="str">
        <f>IFERROR(INDEX('المحافظات Governorates'!$E$2:$E$151,MATCH(D732,'المحافظات Governorates'!$A$2:$A$151,0)),"")</f>
        <v>An-Nabhaniyah</v>
      </c>
      <c r="I732" s="18" t="str">
        <f>IFERROR(INDEX('المناطق Regions'!$C$2:$C$15,MATCH(B732,'المناطق Regions'!$A$2:$A$15,0)),"")</f>
        <v>Al-Qassim</v>
      </c>
      <c r="J732" s="18" t="str">
        <f>F732&amp;", "&amp;E732&amp;", Saudi Arabia"</f>
        <v>رفايع اللهيب, النبهانيه, Saudi Arabia</v>
      </c>
      <c r="K732" s="18">
        <v>25.20715</v>
      </c>
      <c r="L732" s="18">
        <v>42.820202</v>
      </c>
      <c r="M732" s="18">
        <v>2000</v>
      </c>
      <c r="N732" s="18" t="s">
        <v>562</v>
      </c>
    </row>
    <row r="733" ht="15" customHeight="1" spans="1:14" x14ac:dyDescent="0.25">
      <c r="A733" s="13" t="s">
        <v>2029</v>
      </c>
      <c r="B733" s="13">
        <v>4</v>
      </c>
      <c r="C733" s="14" t="s">
        <v>55</v>
      </c>
      <c r="D733" s="13" t="s">
        <v>280</v>
      </c>
      <c r="E733" s="14" t="s">
        <v>281</v>
      </c>
      <c r="F733" s="14" t="s">
        <v>2030</v>
      </c>
      <c r="G733" s="13" t="s">
        <v>149</v>
      </c>
      <c r="H733" s="18" t="str">
        <f>IFERROR(INDEX('المحافظات Governorates'!$E$2:$E$151,MATCH(D733,'المحافظات Governorates'!$A$2:$A$151,0)),"")</f>
        <v>An-Nabhaniyah</v>
      </c>
      <c r="I733" s="18" t="str">
        <f>IFERROR(INDEX('المناطق Regions'!$C$2:$C$15,MATCH(B733,'المناطق Regions'!$A$2:$A$15,0)),"")</f>
        <v>Al-Qassim</v>
      </c>
      <c r="J733" s="18" t="str">
        <f>F733&amp;", "&amp;E733&amp;", Saudi Arabia"</f>
        <v>الخطيم, النبهانيه, Saudi Arabia</v>
      </c>
      <c r="K733" s="18">
        <v>25.617067</v>
      </c>
      <c r="L733" s="18">
        <v>42.542727</v>
      </c>
      <c r="M733" s="18">
        <v>2000</v>
      </c>
      <c r="N733" s="18" t="s">
        <v>562</v>
      </c>
    </row>
    <row r="734" ht="15" customHeight="1" spans="1:14" x14ac:dyDescent="0.25">
      <c r="A734" s="11" t="s">
        <v>2031</v>
      </c>
      <c r="B734" s="11">
        <v>4</v>
      </c>
      <c r="C734" s="12" t="s">
        <v>55</v>
      </c>
      <c r="D734" s="11" t="s">
        <v>280</v>
      </c>
      <c r="E734" s="12" t="s">
        <v>281</v>
      </c>
      <c r="F734" s="12" t="s">
        <v>2032</v>
      </c>
      <c r="G734" s="11" t="s">
        <v>149</v>
      </c>
      <c r="H734" s="18" t="str">
        <f>IFERROR(INDEX('المحافظات Governorates'!$E$2:$E$151,MATCH(D734,'المحافظات Governorates'!$A$2:$A$151,0)),"")</f>
        <v>An-Nabhaniyah</v>
      </c>
      <c r="I734" s="18" t="str">
        <f>IFERROR(INDEX('المناطق Regions'!$C$2:$C$15,MATCH(B734,'المناطق Regions'!$A$2:$A$15,0)),"")</f>
        <v>Al-Qassim</v>
      </c>
      <c r="J734" s="18" t="str">
        <f>F734&amp;", "&amp;E734&amp;", Saudi Arabia"</f>
        <v>مطربه, النبهانيه, Saudi Arabia</v>
      </c>
      <c r="K734" s="18">
        <v>25.487603</v>
      </c>
      <c r="L734" s="18">
        <v>42.308501</v>
      </c>
      <c r="M734" s="18">
        <v>2000</v>
      </c>
      <c r="N734" s="18" t="s">
        <v>562</v>
      </c>
    </row>
    <row r="735" ht="15" customHeight="1" spans="1:14" x14ac:dyDescent="0.25">
      <c r="A735" s="13" t="s">
        <v>2033</v>
      </c>
      <c r="B735" s="13">
        <v>4</v>
      </c>
      <c r="C735" s="14" t="s">
        <v>55</v>
      </c>
      <c r="D735" s="13" t="s">
        <v>280</v>
      </c>
      <c r="E735" s="14" t="s">
        <v>281</v>
      </c>
      <c r="F735" s="14" t="s">
        <v>2034</v>
      </c>
      <c r="G735" s="13" t="s">
        <v>149</v>
      </c>
      <c r="H735" s="18" t="str">
        <f>IFERROR(INDEX('المحافظات Governorates'!$E$2:$E$151,MATCH(D735,'المحافظات Governorates'!$A$2:$A$151,0)),"")</f>
        <v>An-Nabhaniyah</v>
      </c>
      <c r="I735" s="18" t="str">
        <f>IFERROR(INDEX('المناطق Regions'!$C$2:$C$15,MATCH(B735,'المناطق Regions'!$A$2:$A$15,0)),"")</f>
        <v>Al-Qassim</v>
      </c>
      <c r="J735" s="18" t="str">
        <f>F735&amp;", "&amp;E735&amp;", Saudi Arabia"</f>
        <v>البصيرى, النبهانيه, Saudi Arabia</v>
      </c>
      <c r="K735" s="18">
        <v>25.196132</v>
      </c>
      <c r="L735" s="18">
        <v>42.304047</v>
      </c>
      <c r="M735" s="18">
        <v>2000</v>
      </c>
      <c r="N735" s="18" t="s">
        <v>562</v>
      </c>
    </row>
    <row r="736" ht="15" customHeight="1" spans="1:14" x14ac:dyDescent="0.25">
      <c r="A736" s="11" t="s">
        <v>2035</v>
      </c>
      <c r="B736" s="11">
        <v>4</v>
      </c>
      <c r="C736" s="12" t="s">
        <v>55</v>
      </c>
      <c r="D736" s="11" t="s">
        <v>280</v>
      </c>
      <c r="E736" s="12" t="s">
        <v>281</v>
      </c>
      <c r="F736" s="12" t="s">
        <v>2036</v>
      </c>
      <c r="G736" s="11" t="s">
        <v>149</v>
      </c>
      <c r="H736" s="18" t="str">
        <f>IFERROR(INDEX('المحافظات Governorates'!$E$2:$E$151,MATCH(D736,'المحافظات Governorates'!$A$2:$A$151,0)),"")</f>
        <v>An-Nabhaniyah</v>
      </c>
      <c r="I736" s="18" t="str">
        <f>IFERROR(INDEX('المناطق Regions'!$C$2:$C$15,MATCH(B736,'المناطق Regions'!$A$2:$A$15,0)),"")</f>
        <v>Al-Qassim</v>
      </c>
      <c r="J736" s="18" t="str">
        <f>F736&amp;", "&amp;E736&amp;", Saudi Arabia"</f>
        <v>البعجاء, النبهانيه, Saudi Arabia</v>
      </c>
      <c r="K736" s="18">
        <v>25.198298</v>
      </c>
      <c r="L736" s="18">
        <v>42.224169</v>
      </c>
      <c r="M736" s="18">
        <v>2000</v>
      </c>
      <c r="N736" s="18" t="s">
        <v>562</v>
      </c>
    </row>
    <row r="737" ht="15" customHeight="1" spans="1:14" x14ac:dyDescent="0.25">
      <c r="A737" s="13" t="s">
        <v>2037</v>
      </c>
      <c r="B737" s="13">
        <v>4</v>
      </c>
      <c r="C737" s="14" t="s">
        <v>55</v>
      </c>
      <c r="D737" s="13" t="s">
        <v>280</v>
      </c>
      <c r="E737" s="14" t="s">
        <v>281</v>
      </c>
      <c r="F737" s="14" t="s">
        <v>2038</v>
      </c>
      <c r="G737" s="13" t="s">
        <v>149</v>
      </c>
      <c r="H737" s="18" t="str">
        <f>IFERROR(INDEX('المحافظات Governorates'!$E$2:$E$151,MATCH(D737,'المحافظات Governorates'!$A$2:$A$151,0)),"")</f>
        <v>An-Nabhaniyah</v>
      </c>
      <c r="I737" s="18" t="str">
        <f>IFERROR(INDEX('المناطق Regions'!$C$2:$C$15,MATCH(B737,'المناطق Regions'!$A$2:$A$15,0)),"")</f>
        <v>Al-Qassim</v>
      </c>
      <c r="J737" s="18" t="str">
        <f>F737&amp;", "&amp;E737&amp;", Saudi Arabia"</f>
        <v>البديعه, النبهانيه, Saudi Arabia</v>
      </c>
      <c r="K737" s="18">
        <v>25.409211</v>
      </c>
      <c r="L737" s="18">
        <v>42.088244</v>
      </c>
      <c r="M737" s="18">
        <v>2000</v>
      </c>
      <c r="N737" s="18" t="s">
        <v>562</v>
      </c>
    </row>
    <row r="738" ht="15" customHeight="1" spans="1:14" x14ac:dyDescent="0.25">
      <c r="A738" s="11" t="s">
        <v>2039</v>
      </c>
      <c r="B738" s="11">
        <v>4</v>
      </c>
      <c r="C738" s="12" t="s">
        <v>55</v>
      </c>
      <c r="D738" s="11" t="s">
        <v>280</v>
      </c>
      <c r="E738" s="12" t="s">
        <v>281</v>
      </c>
      <c r="F738" s="12" t="s">
        <v>2040</v>
      </c>
      <c r="G738" s="11" t="s">
        <v>149</v>
      </c>
      <c r="H738" s="18" t="str">
        <f>IFERROR(INDEX('المحافظات Governorates'!$E$2:$E$151,MATCH(D738,'المحافظات Governorates'!$A$2:$A$151,0)),"")</f>
        <v>An-Nabhaniyah</v>
      </c>
      <c r="I738" s="18" t="str">
        <f>IFERROR(INDEX('المناطق Regions'!$C$2:$C$15,MATCH(B738,'المناطق Regions'!$A$2:$A$15,0)),"")</f>
        <v>Al-Qassim</v>
      </c>
      <c r="J738" s="18" t="str">
        <f>F738&amp;", "&amp;E738&amp;", Saudi Arabia"</f>
        <v>عريفجان ساحوق, النبهانيه, Saudi Arabia</v>
      </c>
      <c r="K738" s="18">
        <v>25.359461</v>
      </c>
      <c r="L738" s="18">
        <v>42.029155</v>
      </c>
      <c r="M738" s="18">
        <v>2000</v>
      </c>
      <c r="N738" s="18" t="s">
        <v>562</v>
      </c>
    </row>
    <row r="739" ht="15" customHeight="1" spans="1:14" x14ac:dyDescent="0.25">
      <c r="A739" s="13" t="s">
        <v>2041</v>
      </c>
      <c r="B739" s="13">
        <v>4</v>
      </c>
      <c r="C739" s="14" t="s">
        <v>55</v>
      </c>
      <c r="D739" s="13" t="s">
        <v>280</v>
      </c>
      <c r="E739" s="14" t="s">
        <v>281</v>
      </c>
      <c r="F739" s="14" t="s">
        <v>2042</v>
      </c>
      <c r="G739" s="13" t="s">
        <v>149</v>
      </c>
      <c r="H739" s="18" t="str">
        <f>IFERROR(INDEX('المحافظات Governorates'!$E$2:$E$151,MATCH(D739,'المحافظات Governorates'!$A$2:$A$151,0)),"")</f>
        <v>An-Nabhaniyah</v>
      </c>
      <c r="I739" s="18" t="str">
        <f>IFERROR(INDEX('المناطق Regions'!$C$2:$C$15,MATCH(B739,'المناطق Regions'!$A$2:$A$15,0)),"")</f>
        <v>Al-Qassim</v>
      </c>
      <c r="J739" s="18" t="str">
        <f>F739&amp;", "&amp;E739&amp;", Saudi Arabia"</f>
        <v>الطرفية الغربيه, النبهانيه, Saudi Arabia</v>
      </c>
      <c r="K739" s="18">
        <v>25.41973</v>
      </c>
      <c r="L739" s="18">
        <v>42.30814</v>
      </c>
      <c r="M739" s="18">
        <v>2000</v>
      </c>
      <c r="N739" s="18" t="s">
        <v>562</v>
      </c>
    </row>
    <row r="740" ht="15" customHeight="1" spans="1:14" x14ac:dyDescent="0.25">
      <c r="A740" s="11" t="s">
        <v>2043</v>
      </c>
      <c r="B740" s="11">
        <v>4</v>
      </c>
      <c r="C740" s="12" t="s">
        <v>55</v>
      </c>
      <c r="D740" s="11" t="s">
        <v>280</v>
      </c>
      <c r="E740" s="12" t="s">
        <v>281</v>
      </c>
      <c r="F740" s="12" t="s">
        <v>2044</v>
      </c>
      <c r="G740" s="11" t="s">
        <v>149</v>
      </c>
      <c r="H740" s="18" t="str">
        <f>IFERROR(INDEX('المحافظات Governorates'!$E$2:$E$151,MATCH(D740,'المحافظات Governorates'!$A$2:$A$151,0)),"")</f>
        <v>An-Nabhaniyah</v>
      </c>
      <c r="I740" s="18" t="str">
        <f>IFERROR(INDEX('المناطق Regions'!$C$2:$C$15,MATCH(B740,'المناطق Regions'!$A$2:$A$15,0)),"")</f>
        <v>Al-Qassim</v>
      </c>
      <c r="J740" s="18" t="str">
        <f>F740&amp;", "&amp;E740&amp;", Saudi Arabia"</f>
        <v>الغضياء والسلمات, النبهانيه, Saudi Arabia</v>
      </c>
      <c r="K740" s="18">
        <v>25.573025</v>
      </c>
      <c r="L740" s="18">
        <v>42.716968</v>
      </c>
      <c r="M740" s="18">
        <v>2000</v>
      </c>
      <c r="N740" s="18" t="s">
        <v>562</v>
      </c>
    </row>
    <row r="741" ht="15" customHeight="1" spans="1:14" x14ac:dyDescent="0.25">
      <c r="A741" s="13" t="s">
        <v>2045</v>
      </c>
      <c r="B741" s="13">
        <v>4</v>
      </c>
      <c r="C741" s="14" t="s">
        <v>55</v>
      </c>
      <c r="D741" s="13" t="s">
        <v>280</v>
      </c>
      <c r="E741" s="14" t="s">
        <v>281</v>
      </c>
      <c r="F741" s="14" t="s">
        <v>2046</v>
      </c>
      <c r="G741" s="13" t="s">
        <v>149</v>
      </c>
      <c r="H741" s="18" t="str">
        <f>IFERROR(INDEX('المحافظات Governorates'!$E$2:$E$151,MATCH(D741,'المحافظات Governorates'!$A$2:$A$151,0)),"")</f>
        <v>An-Nabhaniyah</v>
      </c>
      <c r="I741" s="18" t="str">
        <f>IFERROR(INDEX('المناطق Regions'!$C$2:$C$15,MATCH(B741,'المناطق Regions'!$A$2:$A$15,0)),"")</f>
        <v>Al-Qassim</v>
      </c>
      <c r="J741" s="18" t="str">
        <f>F741&amp;", "&amp;E741&amp;", Saudi Arabia"</f>
        <v>فياضه, النبهانيه, Saudi Arabia</v>
      </c>
      <c r="K741" s="18">
        <v>25.523315</v>
      </c>
      <c r="L741" s="18">
        <v>42.716077</v>
      </c>
      <c r="M741" s="18">
        <v>2000</v>
      </c>
      <c r="N741" s="18" t="s">
        <v>562</v>
      </c>
    </row>
    <row r="742" ht="15" customHeight="1" spans="1:14" x14ac:dyDescent="0.25">
      <c r="A742" s="11" t="s">
        <v>2047</v>
      </c>
      <c r="B742" s="11">
        <v>4</v>
      </c>
      <c r="C742" s="12" t="s">
        <v>55</v>
      </c>
      <c r="D742" s="11" t="s">
        <v>280</v>
      </c>
      <c r="E742" s="12" t="s">
        <v>281</v>
      </c>
      <c r="F742" s="12" t="s">
        <v>2048</v>
      </c>
      <c r="G742" s="11" t="s">
        <v>149</v>
      </c>
      <c r="H742" s="18" t="str">
        <f>IFERROR(INDEX('المحافظات Governorates'!$E$2:$E$151,MATCH(D742,'المحافظات Governorates'!$A$2:$A$151,0)),"")</f>
        <v>An-Nabhaniyah</v>
      </c>
      <c r="I742" s="18" t="str">
        <f>IFERROR(INDEX('المناطق Regions'!$C$2:$C$15,MATCH(B742,'المناطق Regions'!$A$2:$A$15,0)),"")</f>
        <v>Al-Qassim</v>
      </c>
      <c r="J742" s="18" t="str">
        <f>F742&amp;", "&amp;E742&amp;", Saudi Arabia"</f>
        <v>مظيفير, النبهانيه, Saudi Arabia</v>
      </c>
      <c r="K742" s="18">
        <v>25.380619</v>
      </c>
      <c r="L742" s="18">
        <v>43.002583</v>
      </c>
      <c r="M742" s="18">
        <v>2000</v>
      </c>
      <c r="N742" s="18" t="s">
        <v>562</v>
      </c>
    </row>
    <row r="743" ht="15" customHeight="1" spans="1:14" x14ac:dyDescent="0.25">
      <c r="A743" s="13" t="s">
        <v>2049</v>
      </c>
      <c r="B743" s="13">
        <v>4</v>
      </c>
      <c r="C743" s="14" t="s">
        <v>55</v>
      </c>
      <c r="D743" s="13" t="s">
        <v>280</v>
      </c>
      <c r="E743" s="14" t="s">
        <v>281</v>
      </c>
      <c r="F743" s="14" t="s">
        <v>2050</v>
      </c>
      <c r="G743" s="13" t="s">
        <v>149</v>
      </c>
      <c r="H743" s="18" t="str">
        <f>IFERROR(INDEX('المحافظات Governorates'!$E$2:$E$151,MATCH(D743,'المحافظات Governorates'!$A$2:$A$151,0)),"")</f>
        <v>An-Nabhaniyah</v>
      </c>
      <c r="I743" s="18" t="str">
        <f>IFERROR(INDEX('المناطق Regions'!$C$2:$C$15,MATCH(B743,'المناطق Regions'!$A$2:$A$15,0)),"")</f>
        <v>Al-Qassim</v>
      </c>
      <c r="J743" s="18" t="str">
        <f>F743&amp;", "&amp;E743&amp;", Saudi Arabia"</f>
        <v>وادي النخيل, النبهانيه, Saudi Arabia</v>
      </c>
      <c r="K743" s="18">
        <v>25.425463</v>
      </c>
      <c r="L743" s="18">
        <v>42.828617</v>
      </c>
      <c r="M743" s="18">
        <v>2000</v>
      </c>
      <c r="N743" s="18" t="s">
        <v>562</v>
      </c>
    </row>
    <row r="744" ht="15" customHeight="1" spans="1:14" x14ac:dyDescent="0.25">
      <c r="A744" s="11" t="s">
        <v>2051</v>
      </c>
      <c r="B744" s="11">
        <v>4</v>
      </c>
      <c r="C744" s="12" t="s">
        <v>55</v>
      </c>
      <c r="D744" s="11" t="s">
        <v>280</v>
      </c>
      <c r="E744" s="12" t="s">
        <v>281</v>
      </c>
      <c r="F744" s="12" t="s">
        <v>2052</v>
      </c>
      <c r="G744" s="11" t="s">
        <v>149</v>
      </c>
      <c r="H744" s="18" t="str">
        <f>IFERROR(INDEX('المحافظات Governorates'!$E$2:$E$151,MATCH(D744,'المحافظات Governorates'!$A$2:$A$151,0)),"")</f>
        <v>An-Nabhaniyah</v>
      </c>
      <c r="I744" s="18" t="str">
        <f>IFERROR(INDEX('المناطق Regions'!$C$2:$C$15,MATCH(B744,'المناطق Regions'!$A$2:$A$15,0)),"")</f>
        <v>Al-Qassim</v>
      </c>
      <c r="J744" s="18" t="str">
        <f>F744&amp;", "&amp;E744&amp;", Saudi Arabia"</f>
        <v>رفايع الحميمه, النبهانيه, Saudi Arabia</v>
      </c>
      <c r="K744" s="18">
        <v>25.507718</v>
      </c>
      <c r="L744" s="18">
        <v>42.693129</v>
      </c>
      <c r="M744" s="18">
        <v>87937</v>
      </c>
      <c r="N744" s="18" t="s">
        <v>2053</v>
      </c>
    </row>
    <row r="745" ht="15" customHeight="1" spans="1:14" x14ac:dyDescent="0.25">
      <c r="A745" s="13" t="s">
        <v>2054</v>
      </c>
      <c r="B745" s="13">
        <v>4</v>
      </c>
      <c r="C745" s="14" t="s">
        <v>55</v>
      </c>
      <c r="D745" s="13" t="s">
        <v>280</v>
      </c>
      <c r="E745" s="14" t="s">
        <v>281</v>
      </c>
      <c r="F745" s="14" t="s">
        <v>2055</v>
      </c>
      <c r="G745" s="13" t="s">
        <v>149</v>
      </c>
      <c r="H745" s="18" t="str">
        <f>IFERROR(INDEX('المحافظات Governorates'!$E$2:$E$151,MATCH(D745,'المحافظات Governorates'!$A$2:$A$151,0)),"")</f>
        <v>An-Nabhaniyah</v>
      </c>
      <c r="I745" s="18" t="str">
        <f>IFERROR(INDEX('المناطق Regions'!$C$2:$C$15,MATCH(B745,'المناطق Regions'!$A$2:$A$15,0)),"")</f>
        <v>Al-Qassim</v>
      </c>
      <c r="J745" s="18" t="str">
        <f>F745&amp;", "&amp;E745&amp;", Saudi Arabia"</f>
        <v>رفايع الحجره, النبهانيه, Saudi Arabia</v>
      </c>
      <c r="K745" s="18">
        <v>25.507718</v>
      </c>
      <c r="L745" s="18">
        <v>42.693129</v>
      </c>
      <c r="M745" s="18">
        <v>87937</v>
      </c>
      <c r="N745" s="18" t="s">
        <v>2053</v>
      </c>
    </row>
    <row r="746" ht="15" customHeight="1" spans="1:14" x14ac:dyDescent="0.25">
      <c r="A746" s="11" t="s">
        <v>2056</v>
      </c>
      <c r="B746" s="11">
        <v>4</v>
      </c>
      <c r="C746" s="12" t="s">
        <v>55</v>
      </c>
      <c r="D746" s="11" t="s">
        <v>280</v>
      </c>
      <c r="E746" s="12" t="s">
        <v>281</v>
      </c>
      <c r="F746" s="12" t="s">
        <v>2057</v>
      </c>
      <c r="G746" s="11" t="s">
        <v>149</v>
      </c>
      <c r="H746" s="18" t="str">
        <f>IFERROR(INDEX('المحافظات Governorates'!$E$2:$E$151,MATCH(D746,'المحافظات Governorates'!$A$2:$A$151,0)),"")</f>
        <v>An-Nabhaniyah</v>
      </c>
      <c r="I746" s="18" t="str">
        <f>IFERROR(INDEX('المناطق Regions'!$C$2:$C$15,MATCH(B746,'المناطق Regions'!$A$2:$A$15,0)),"")</f>
        <v>Al-Qassim</v>
      </c>
      <c r="J746" s="18" t="str">
        <f>F746&amp;", "&amp;E746&amp;", Saudi Arabia"</f>
        <v>الأفيهد, النبهانيه, Saudi Arabia</v>
      </c>
      <c r="K746" s="18">
        <v>25.688976</v>
      </c>
      <c r="L746" s="18">
        <v>42.348442</v>
      </c>
      <c r="M746" s="18">
        <v>2000</v>
      </c>
      <c r="N746" s="18" t="s">
        <v>562</v>
      </c>
    </row>
    <row r="747" ht="15" customHeight="1" spans="1:14" x14ac:dyDescent="0.25">
      <c r="A747" s="13" t="s">
        <v>2058</v>
      </c>
      <c r="B747" s="13">
        <v>4</v>
      </c>
      <c r="C747" s="14" t="s">
        <v>55</v>
      </c>
      <c r="D747" s="13" t="s">
        <v>280</v>
      </c>
      <c r="E747" s="14" t="s">
        <v>281</v>
      </c>
      <c r="F747" s="14" t="s">
        <v>2059</v>
      </c>
      <c r="G747" s="13" t="s">
        <v>149</v>
      </c>
      <c r="H747" s="18" t="str">
        <f>IFERROR(INDEX('المحافظات Governorates'!$E$2:$E$151,MATCH(D747,'المحافظات Governorates'!$A$2:$A$151,0)),"")</f>
        <v>An-Nabhaniyah</v>
      </c>
      <c r="I747" s="18" t="str">
        <f>IFERROR(INDEX('المناطق Regions'!$C$2:$C$15,MATCH(B747,'المناطق Regions'!$A$2:$A$15,0)),"")</f>
        <v>Al-Qassim</v>
      </c>
      <c r="J747" s="18" t="str">
        <f>F747&amp;", "&amp;E747&amp;", Saudi Arabia"</f>
        <v>دوبح, النبهانيه, Saudi Arabia</v>
      </c>
      <c r="K747" s="18">
        <v>25.632674</v>
      </c>
      <c r="L747" s="18">
        <v>42.275978</v>
      </c>
      <c r="M747" s="18">
        <v>2000</v>
      </c>
      <c r="N747" s="18" t="s">
        <v>562</v>
      </c>
    </row>
    <row r="748" ht="15" customHeight="1" spans="1:14" x14ac:dyDescent="0.25">
      <c r="A748" s="11" t="s">
        <v>2060</v>
      </c>
      <c r="B748" s="11">
        <v>4</v>
      </c>
      <c r="C748" s="12" t="s">
        <v>55</v>
      </c>
      <c r="D748" s="11" t="s">
        <v>283</v>
      </c>
      <c r="E748" s="12" t="s">
        <v>284</v>
      </c>
      <c r="F748" s="12" t="s">
        <v>2061</v>
      </c>
      <c r="G748" s="11" t="s">
        <v>113</v>
      </c>
      <c r="H748" s="18" t="str">
        <f>IFERROR(INDEX('المحافظات Governorates'!$E$2:$E$151,MATCH(D748,'المحافظات Governorates'!$A$2:$A$151,0)),"")</f>
        <v>Uyun Al-Jiwa</v>
      </c>
      <c r="I748" s="18" t="str">
        <f>IFERROR(INDEX('المناطق Regions'!$C$2:$C$15,MATCH(B748,'المناطق Regions'!$A$2:$A$15,0)),"")</f>
        <v>Al-Qassim</v>
      </c>
      <c r="J748" s="18" t="str">
        <f>F748&amp;", "&amp;E748&amp;", Saudi Arabia"</f>
        <v>الصلبيه, عيون الجواء, Saudi Arabia</v>
      </c>
      <c r="K748" s="18">
        <v>26.664271</v>
      </c>
      <c r="L748" s="18">
        <v>43.284491</v>
      </c>
      <c r="M748" s="18">
        <v>61075</v>
      </c>
      <c r="N748" s="18" t="s">
        <v>2062</v>
      </c>
    </row>
    <row r="749" ht="15" customHeight="1" spans="1:14" x14ac:dyDescent="0.25">
      <c r="A749" s="13" t="s">
        <v>2063</v>
      </c>
      <c r="B749" s="13">
        <v>4</v>
      </c>
      <c r="C749" s="14" t="s">
        <v>55</v>
      </c>
      <c r="D749" s="13" t="s">
        <v>283</v>
      </c>
      <c r="E749" s="14" t="s">
        <v>284</v>
      </c>
      <c r="F749" s="14" t="s">
        <v>2064</v>
      </c>
      <c r="G749" s="13" t="s">
        <v>113</v>
      </c>
      <c r="H749" s="18" t="str">
        <f>IFERROR(INDEX('المحافظات Governorates'!$E$2:$E$151,MATCH(D749,'المحافظات Governorates'!$A$2:$A$151,0)),"")</f>
        <v>Uyun Al-Jiwa</v>
      </c>
      <c r="I749" s="18" t="str">
        <f>IFERROR(INDEX('المناطق Regions'!$C$2:$C$15,MATCH(B749,'المناطق Regions'!$A$2:$A$15,0)),"")</f>
        <v>Al-Qassim</v>
      </c>
      <c r="J749" s="18" t="str">
        <f>F749&amp;", "&amp;E749&amp;", Saudi Arabia"</f>
        <v>غاف الجواء, عيون الجواء, Saudi Arabia</v>
      </c>
      <c r="K749" s="18">
        <v>26.533056</v>
      </c>
      <c r="L749" s="18">
        <v>43.602222</v>
      </c>
      <c r="M749" s="18">
        <v>2000</v>
      </c>
      <c r="N749" s="18" t="s">
        <v>562</v>
      </c>
    </row>
    <row r="750" ht="15" customHeight="1" spans="1:14" x14ac:dyDescent="0.25">
      <c r="A750" s="11" t="s">
        <v>2065</v>
      </c>
      <c r="B750" s="11">
        <v>4</v>
      </c>
      <c r="C750" s="12" t="s">
        <v>55</v>
      </c>
      <c r="D750" s="11" t="s">
        <v>283</v>
      </c>
      <c r="E750" s="12" t="s">
        <v>284</v>
      </c>
      <c r="F750" s="12" t="s">
        <v>2066</v>
      </c>
      <c r="G750" s="11" t="s">
        <v>113</v>
      </c>
      <c r="H750" s="18" t="str">
        <f>IFERROR(INDEX('المحافظات Governorates'!$E$2:$E$151,MATCH(D750,'المحافظات Governorates'!$A$2:$A$151,0)),"")</f>
        <v>Uyun Al-Jiwa</v>
      </c>
      <c r="I750" s="18" t="str">
        <f>IFERROR(INDEX('المناطق Regions'!$C$2:$C$15,MATCH(B750,'المناطق Regions'!$A$2:$A$15,0)),"")</f>
        <v>Al-Qassim</v>
      </c>
      <c r="J750" s="18" t="str">
        <f>F750&amp;", "&amp;E750&amp;", Saudi Arabia"</f>
        <v>اوثال, عيون الجواء, Saudi Arabia</v>
      </c>
      <c r="K750" s="18">
        <v>26.525556</v>
      </c>
      <c r="L750" s="18">
        <v>43.691111</v>
      </c>
      <c r="M750" s="18">
        <v>2000</v>
      </c>
      <c r="N750" s="18" t="s">
        <v>562</v>
      </c>
    </row>
    <row r="751" ht="15" customHeight="1" spans="1:14" x14ac:dyDescent="0.25">
      <c r="A751" s="13" t="s">
        <v>2067</v>
      </c>
      <c r="B751" s="13">
        <v>4</v>
      </c>
      <c r="C751" s="14" t="s">
        <v>55</v>
      </c>
      <c r="D751" s="13" t="s">
        <v>283</v>
      </c>
      <c r="E751" s="14" t="s">
        <v>284</v>
      </c>
      <c r="F751" s="14" t="s">
        <v>2068</v>
      </c>
      <c r="G751" s="13" t="s">
        <v>113</v>
      </c>
      <c r="H751" s="18" t="str">
        <f>IFERROR(INDEX('المحافظات Governorates'!$E$2:$E$151,MATCH(D751,'المحافظات Governorates'!$A$2:$A$151,0)),"")</f>
        <v>Uyun Al-Jiwa</v>
      </c>
      <c r="I751" s="18" t="str">
        <f>IFERROR(INDEX('المناطق Regions'!$C$2:$C$15,MATCH(B751,'المناطق Regions'!$A$2:$A$15,0)),"")</f>
        <v>Al-Qassim</v>
      </c>
      <c r="J751" s="18" t="str">
        <f>F751&amp;", "&amp;E751&amp;", Saudi Arabia"</f>
        <v>الطراق, عيون الجواء, Saudi Arabia</v>
      </c>
      <c r="K751" s="18">
        <v>26.677707</v>
      </c>
      <c r="L751" s="18">
        <v>43.307631</v>
      </c>
      <c r="M751" s="18">
        <v>2000</v>
      </c>
      <c r="N751" s="18" t="s">
        <v>562</v>
      </c>
    </row>
    <row r="752" ht="15" customHeight="1" spans="1:14" x14ac:dyDescent="0.25">
      <c r="A752" s="11" t="s">
        <v>2069</v>
      </c>
      <c r="B752" s="11">
        <v>4</v>
      </c>
      <c r="C752" s="12" t="s">
        <v>55</v>
      </c>
      <c r="D752" s="11" t="s">
        <v>283</v>
      </c>
      <c r="E752" s="12" t="s">
        <v>284</v>
      </c>
      <c r="F752" s="12" t="s">
        <v>2070</v>
      </c>
      <c r="G752" s="11" t="s">
        <v>149</v>
      </c>
      <c r="H752" s="18" t="str">
        <f>IFERROR(INDEX('المحافظات Governorates'!$E$2:$E$151,MATCH(D752,'المحافظات Governorates'!$A$2:$A$151,0)),"")</f>
        <v>Uyun Al-Jiwa</v>
      </c>
      <c r="I752" s="18" t="str">
        <f>IFERROR(INDEX('المناطق Regions'!$C$2:$C$15,MATCH(B752,'المناطق Regions'!$A$2:$A$15,0)),"")</f>
        <v>Al-Qassim</v>
      </c>
      <c r="J752" s="18" t="str">
        <f>F752&amp;", "&amp;E752&amp;", Saudi Arabia"</f>
        <v>كبد, عيون الجواء, Saudi Arabia</v>
      </c>
      <c r="K752" s="18">
        <v>26.905848</v>
      </c>
      <c r="L752" s="18">
        <v>43.359909</v>
      </c>
      <c r="M752" s="18">
        <v>2000</v>
      </c>
      <c r="N752" s="18" t="s">
        <v>562</v>
      </c>
    </row>
    <row r="753" ht="15" customHeight="1" spans="1:14" x14ac:dyDescent="0.25">
      <c r="A753" s="13" t="s">
        <v>2071</v>
      </c>
      <c r="B753" s="13">
        <v>4</v>
      </c>
      <c r="C753" s="14" t="s">
        <v>55</v>
      </c>
      <c r="D753" s="13" t="s">
        <v>283</v>
      </c>
      <c r="E753" s="14" t="s">
        <v>284</v>
      </c>
      <c r="F753" s="14" t="s">
        <v>2072</v>
      </c>
      <c r="G753" s="13" t="s">
        <v>149</v>
      </c>
      <c r="H753" s="18" t="str">
        <f>IFERROR(INDEX('المحافظات Governorates'!$E$2:$E$151,MATCH(D753,'المحافظات Governorates'!$A$2:$A$151,0)),"")</f>
        <v>Uyun Al-Jiwa</v>
      </c>
      <c r="I753" s="18" t="str">
        <f>IFERROR(INDEX('المناطق Regions'!$C$2:$C$15,MATCH(B753,'المناطق Regions'!$A$2:$A$15,0)),"")</f>
        <v>Al-Qassim</v>
      </c>
      <c r="J753" s="18" t="str">
        <f>F753&amp;", "&amp;E753&amp;", Saudi Arabia"</f>
        <v>روض الجواء, عيون الجواء, Saudi Arabia</v>
      </c>
      <c r="K753" s="18">
        <v>26.531236</v>
      </c>
      <c r="L753" s="18">
        <v>43.571944</v>
      </c>
      <c r="M753" s="18">
        <v>2000</v>
      </c>
      <c r="N753" s="18" t="s">
        <v>562</v>
      </c>
    </row>
    <row r="754" ht="15" customHeight="1" spans="1:14" x14ac:dyDescent="0.25">
      <c r="A754" s="11" t="s">
        <v>2073</v>
      </c>
      <c r="B754" s="11">
        <v>4</v>
      </c>
      <c r="C754" s="12" t="s">
        <v>55</v>
      </c>
      <c r="D754" s="11" t="s">
        <v>283</v>
      </c>
      <c r="E754" s="12" t="s">
        <v>284</v>
      </c>
      <c r="F754" s="12" t="s">
        <v>2074</v>
      </c>
      <c r="G754" s="11" t="s">
        <v>149</v>
      </c>
      <c r="H754" s="18" t="str">
        <f>IFERROR(INDEX('المحافظات Governorates'!$E$2:$E$151,MATCH(D754,'المحافظات Governorates'!$A$2:$A$151,0)),"")</f>
        <v>Uyun Al-Jiwa</v>
      </c>
      <c r="I754" s="18" t="str">
        <f>IFERROR(INDEX('المناطق Regions'!$C$2:$C$15,MATCH(B754,'المناطق Regions'!$A$2:$A$15,0)),"")</f>
        <v>Al-Qassim</v>
      </c>
      <c r="J754" s="18" t="str">
        <f>F754&amp;", "&amp;E754&amp;", Saudi Arabia"</f>
        <v>المخرم, عيون الجواء, Saudi Arabia</v>
      </c>
      <c r="K754" s="18">
        <v>26.791339</v>
      </c>
      <c r="L754" s="18">
        <v>43.229342</v>
      </c>
      <c r="M754" s="18">
        <v>2000</v>
      </c>
      <c r="N754" s="18" t="s">
        <v>562</v>
      </c>
    </row>
    <row r="755" ht="15" customHeight="1" spans="1:14" x14ac:dyDescent="0.25">
      <c r="A755" s="13" t="s">
        <v>2075</v>
      </c>
      <c r="B755" s="13">
        <v>4</v>
      </c>
      <c r="C755" s="14" t="s">
        <v>55</v>
      </c>
      <c r="D755" s="13" t="s">
        <v>283</v>
      </c>
      <c r="E755" s="14" t="s">
        <v>284</v>
      </c>
      <c r="F755" s="14" t="s">
        <v>2076</v>
      </c>
      <c r="G755" s="13" t="s">
        <v>149</v>
      </c>
      <c r="H755" s="18" t="str">
        <f>IFERROR(INDEX('المحافظات Governorates'!$E$2:$E$151,MATCH(D755,'المحافظات Governorates'!$A$2:$A$151,0)),"")</f>
        <v>Uyun Al-Jiwa</v>
      </c>
      <c r="I755" s="18" t="str">
        <f>IFERROR(INDEX('المناطق Regions'!$C$2:$C$15,MATCH(B755,'المناطق Regions'!$A$2:$A$15,0)),"")</f>
        <v>Al-Qassim</v>
      </c>
      <c r="J755" s="18" t="str">
        <f>F755&amp;", "&amp;E755&amp;", Saudi Arabia"</f>
        <v>الكدادية, عيون الجواء, Saudi Arabia</v>
      </c>
      <c r="K755" s="18">
        <v>26.664271</v>
      </c>
      <c r="L755" s="18">
        <v>43.284491</v>
      </c>
      <c r="M755" s="18">
        <v>61075</v>
      </c>
      <c r="N755" s="18" t="s">
        <v>2062</v>
      </c>
    </row>
    <row r="756" ht="15" customHeight="1" spans="1:14" x14ac:dyDescent="0.25">
      <c r="A756" s="11" t="s">
        <v>2077</v>
      </c>
      <c r="B756" s="11">
        <v>4</v>
      </c>
      <c r="C756" s="12" t="s">
        <v>55</v>
      </c>
      <c r="D756" s="11" t="s">
        <v>286</v>
      </c>
      <c r="E756" s="12" t="s">
        <v>287</v>
      </c>
      <c r="F756" s="12" t="s">
        <v>2078</v>
      </c>
      <c r="G756" s="11" t="s">
        <v>149</v>
      </c>
      <c r="H756" s="18" t="str">
        <f>IFERROR(INDEX('المحافظات Governorates'!$E$2:$E$151,MATCH(D756,'المحافظات Governorates'!$A$2:$A$151,0)),"")</f>
        <v>Riyadh Al-Khabra</v>
      </c>
      <c r="I756" s="18" t="str">
        <f>IFERROR(INDEX('المناطق Regions'!$C$2:$C$15,MATCH(B756,'المناطق Regions'!$A$2:$A$15,0)),"")</f>
        <v>Al-Qassim</v>
      </c>
      <c r="J756" s="18" t="str">
        <f>F756&amp;", "&amp;E756&amp;", Saudi Arabia"</f>
        <v>المطيوى الشمالى, رياض الخبراء, Saudi Arabia</v>
      </c>
      <c r="K756" s="18">
        <v>26.515556</v>
      </c>
      <c r="L756" s="18">
        <v>42.589722</v>
      </c>
      <c r="M756" s="18">
        <v>2000</v>
      </c>
      <c r="N756" s="18" t="s">
        <v>562</v>
      </c>
    </row>
    <row r="757" ht="15" customHeight="1" spans="1:14" x14ac:dyDescent="0.25">
      <c r="A757" s="13" t="s">
        <v>2079</v>
      </c>
      <c r="B757" s="13">
        <v>4</v>
      </c>
      <c r="C757" s="14" t="s">
        <v>55</v>
      </c>
      <c r="D757" s="13" t="s">
        <v>286</v>
      </c>
      <c r="E757" s="14" t="s">
        <v>287</v>
      </c>
      <c r="F757" s="14" t="s">
        <v>2080</v>
      </c>
      <c r="G757" s="13" t="s">
        <v>113</v>
      </c>
      <c r="H757" s="18" t="str">
        <f>IFERROR(INDEX('المحافظات Governorates'!$E$2:$E$151,MATCH(D757,'المحافظات Governorates'!$A$2:$A$151,0)),"")</f>
        <v>Riyadh Al-Khabra</v>
      </c>
      <c r="I757" s="18" t="str">
        <f>IFERROR(INDEX('المناطق Regions'!$C$2:$C$15,MATCH(B757,'المناطق Regions'!$A$2:$A$15,0)),"")</f>
        <v>Al-Qassim</v>
      </c>
      <c r="J757" s="18" t="str">
        <f>F757&amp;", "&amp;E757&amp;", Saudi Arabia"</f>
        <v>النمريه, رياض الخبراء, Saudi Arabia</v>
      </c>
      <c r="K757" s="18">
        <v>26.393889</v>
      </c>
      <c r="L757" s="18">
        <v>42.338611</v>
      </c>
      <c r="M757" s="18">
        <v>2000</v>
      </c>
      <c r="N757" s="18" t="s">
        <v>562</v>
      </c>
    </row>
    <row r="758" ht="15" customHeight="1" spans="1:14" x14ac:dyDescent="0.25">
      <c r="A758" s="11" t="s">
        <v>2081</v>
      </c>
      <c r="B758" s="11">
        <v>4</v>
      </c>
      <c r="C758" s="12" t="s">
        <v>55</v>
      </c>
      <c r="D758" s="11" t="s">
        <v>286</v>
      </c>
      <c r="E758" s="12" t="s">
        <v>287</v>
      </c>
      <c r="F758" s="12" t="s">
        <v>2082</v>
      </c>
      <c r="G758" s="11" t="s">
        <v>113</v>
      </c>
      <c r="H758" s="18" t="str">
        <f>IFERROR(INDEX('المحافظات Governorates'!$E$2:$E$151,MATCH(D758,'المحافظات Governorates'!$A$2:$A$151,0)),"")</f>
        <v>Riyadh Al-Khabra</v>
      </c>
      <c r="I758" s="18" t="str">
        <f>IFERROR(INDEX('المناطق Regions'!$C$2:$C$15,MATCH(B758,'المناطق Regions'!$A$2:$A$15,0)),"")</f>
        <v>Al-Qassim</v>
      </c>
      <c r="J758" s="18" t="str">
        <f>F758&amp;", "&amp;E758&amp;", Saudi Arabia"</f>
        <v>السيح والحجازيه, رياض الخبراء, Saudi Arabia</v>
      </c>
      <c r="K758" s="18">
        <v>26.358802</v>
      </c>
      <c r="L758" s="18">
        <v>42.374783</v>
      </c>
      <c r="M758" s="18">
        <v>82444</v>
      </c>
      <c r="N758" s="18" t="s">
        <v>2083</v>
      </c>
    </row>
    <row r="759" ht="15" customHeight="1" spans="1:14" x14ac:dyDescent="0.25">
      <c r="A759" s="13" t="s">
        <v>2084</v>
      </c>
      <c r="B759" s="13">
        <v>4</v>
      </c>
      <c r="C759" s="14" t="s">
        <v>55</v>
      </c>
      <c r="D759" s="13" t="s">
        <v>286</v>
      </c>
      <c r="E759" s="14" t="s">
        <v>287</v>
      </c>
      <c r="F759" s="14" t="s">
        <v>2085</v>
      </c>
      <c r="G759" s="13" t="s">
        <v>113</v>
      </c>
      <c r="H759" s="18" t="str">
        <f>IFERROR(INDEX('المحافظات Governorates'!$E$2:$E$151,MATCH(D759,'المحافظات Governorates'!$A$2:$A$151,0)),"")</f>
        <v>Riyadh Al-Khabra</v>
      </c>
      <c r="I759" s="18" t="str">
        <f>IFERROR(INDEX('المناطق Regions'!$C$2:$C$15,MATCH(B759,'المناطق Regions'!$A$2:$A$15,0)),"")</f>
        <v>Al-Qassim</v>
      </c>
      <c r="J759" s="18" t="str">
        <f>F759&amp;", "&amp;E759&amp;", Saudi Arabia"</f>
        <v>صبيح, رياض الخبراء, Saudi Arabia</v>
      </c>
      <c r="K759" s="18">
        <v>26.015167</v>
      </c>
      <c r="L759" s="18">
        <v>43.027551</v>
      </c>
      <c r="M759" s="18">
        <v>2000</v>
      </c>
      <c r="N759" s="18" t="s">
        <v>562</v>
      </c>
    </row>
    <row r="760" ht="15" customHeight="1" spans="1:14" x14ac:dyDescent="0.25">
      <c r="A760" s="11" t="s">
        <v>2086</v>
      </c>
      <c r="B760" s="11">
        <v>4</v>
      </c>
      <c r="C760" s="12" t="s">
        <v>55</v>
      </c>
      <c r="D760" s="11" t="s">
        <v>289</v>
      </c>
      <c r="E760" s="12" t="s">
        <v>290</v>
      </c>
      <c r="F760" s="12" t="s">
        <v>2087</v>
      </c>
      <c r="G760" s="11" t="s">
        <v>149</v>
      </c>
      <c r="H760" s="18" t="str">
        <f>IFERROR(INDEX('المحافظات Governorates'!$E$2:$E$151,MATCH(D760,'المحافظات Governorates'!$A$2:$A$151,0)),"")</f>
        <v>Ash-Shimasiyah</v>
      </c>
      <c r="I760" s="18" t="str">
        <f>IFERROR(INDEX('المناطق Regions'!$C$2:$C$15,MATCH(B760,'المناطق Regions'!$A$2:$A$15,0)),"")</f>
        <v>Al-Qassim</v>
      </c>
      <c r="J760" s="18" t="str">
        <f>F760&amp;", "&amp;E760&amp;", Saudi Arabia"</f>
        <v>ام حزم, الشماسيه, Saudi Arabia</v>
      </c>
      <c r="K760" s="18">
        <v>25.833675</v>
      </c>
      <c r="L760" s="18">
        <v>44.590739</v>
      </c>
      <c r="M760" s="18">
        <v>2000</v>
      </c>
      <c r="N760" s="18" t="s">
        <v>562</v>
      </c>
    </row>
    <row r="761" ht="15" customHeight="1" spans="1:14" x14ac:dyDescent="0.25">
      <c r="A761" s="13" t="s">
        <v>2088</v>
      </c>
      <c r="B761" s="13">
        <v>4</v>
      </c>
      <c r="C761" s="14" t="s">
        <v>55</v>
      </c>
      <c r="D761" s="13" t="s">
        <v>289</v>
      </c>
      <c r="E761" s="14" t="s">
        <v>290</v>
      </c>
      <c r="F761" s="14" t="s">
        <v>2089</v>
      </c>
      <c r="G761" s="13" t="s">
        <v>149</v>
      </c>
      <c r="H761" s="18" t="str">
        <f>IFERROR(INDEX('المحافظات Governorates'!$E$2:$E$151,MATCH(D761,'المحافظات Governorates'!$A$2:$A$151,0)),"")</f>
        <v>Ash-Shimasiyah</v>
      </c>
      <c r="I761" s="18" t="str">
        <f>IFERROR(INDEX('المناطق Regions'!$C$2:$C$15,MATCH(B761,'المناطق Regions'!$A$2:$A$15,0)),"")</f>
        <v>Al-Qassim</v>
      </c>
      <c r="J761" s="18" t="str">
        <f>F761&amp;", "&amp;E761&amp;", Saudi Arabia"</f>
        <v>النبقيه, الشماسيه, Saudi Arabia</v>
      </c>
      <c r="K761" s="18">
        <v>26.499102</v>
      </c>
      <c r="L761" s="18">
        <v>44.309458</v>
      </c>
      <c r="M761" s="18">
        <v>2000</v>
      </c>
      <c r="N761" s="18" t="s">
        <v>562</v>
      </c>
    </row>
    <row r="762" ht="15" customHeight="1" spans="1:14" x14ac:dyDescent="0.25">
      <c r="A762" s="11" t="s">
        <v>2090</v>
      </c>
      <c r="B762" s="11">
        <v>4</v>
      </c>
      <c r="C762" s="12" t="s">
        <v>55</v>
      </c>
      <c r="D762" s="11" t="s">
        <v>292</v>
      </c>
      <c r="E762" s="12" t="s">
        <v>293</v>
      </c>
      <c r="F762" s="12" t="s">
        <v>2091</v>
      </c>
      <c r="G762" s="11" t="s">
        <v>149</v>
      </c>
      <c r="H762" s="18" t="str">
        <f>IFERROR(INDEX('المحافظات Governorates'!$E$2:$E$151,MATCH(D762,'المحافظات Governorates'!$A$2:$A$151,0)),"")</f>
        <v>Uqlat As-Suqur</v>
      </c>
      <c r="I762" s="18" t="str">
        <f>IFERROR(INDEX('المناطق Regions'!$C$2:$C$15,MATCH(B762,'المناطق Regions'!$A$2:$A$15,0)),"")</f>
        <v>Al-Qassim</v>
      </c>
      <c r="J762" s="18" t="str">
        <f>F762&amp;", "&amp;E762&amp;", Saudi Arabia"</f>
        <v>الجفن, عقلة الصقور, Saudi Arabia</v>
      </c>
      <c r="K762" s="18">
        <v>25.640165</v>
      </c>
      <c r="L762" s="18">
        <v>41.618002</v>
      </c>
      <c r="M762" s="18">
        <v>2000</v>
      </c>
      <c r="N762" s="18" t="s">
        <v>562</v>
      </c>
    </row>
    <row r="763" ht="15" customHeight="1" spans="1:14" x14ac:dyDescent="0.25">
      <c r="A763" s="13" t="s">
        <v>2092</v>
      </c>
      <c r="B763" s="13">
        <v>4</v>
      </c>
      <c r="C763" s="14" t="s">
        <v>55</v>
      </c>
      <c r="D763" s="13" t="s">
        <v>292</v>
      </c>
      <c r="E763" s="14" t="s">
        <v>293</v>
      </c>
      <c r="F763" s="14" t="s">
        <v>2093</v>
      </c>
      <c r="G763" s="13" t="s">
        <v>113</v>
      </c>
      <c r="H763" s="18" t="str">
        <f>IFERROR(INDEX('المحافظات Governorates'!$E$2:$E$151,MATCH(D763,'المحافظات Governorates'!$A$2:$A$151,0)),"")</f>
        <v>Uqlat As-Suqur</v>
      </c>
      <c r="I763" s="18" t="str">
        <f>IFERROR(INDEX('المناطق Regions'!$C$2:$C$15,MATCH(B763,'المناطق Regions'!$A$2:$A$15,0)),"")</f>
        <v>Al-Qassim</v>
      </c>
      <c r="J763" s="18" t="str">
        <f>F763&amp;", "&amp;E763&amp;", Saudi Arabia"</f>
        <v>الطرفاوى, عقلة الصقور, Saudi Arabia</v>
      </c>
      <c r="K763" s="18">
        <v>25.95413</v>
      </c>
      <c r="L763" s="18">
        <v>42.128038</v>
      </c>
      <c r="M763" s="18">
        <v>2000</v>
      </c>
      <c r="N763" s="18" t="s">
        <v>562</v>
      </c>
    </row>
    <row r="764" ht="15" customHeight="1" spans="1:14" x14ac:dyDescent="0.25">
      <c r="A764" s="11" t="s">
        <v>2094</v>
      </c>
      <c r="B764" s="11">
        <v>4</v>
      </c>
      <c r="C764" s="12" t="s">
        <v>55</v>
      </c>
      <c r="D764" s="11" t="s">
        <v>292</v>
      </c>
      <c r="E764" s="12" t="s">
        <v>293</v>
      </c>
      <c r="F764" s="12" t="s">
        <v>2095</v>
      </c>
      <c r="G764" s="11" t="s">
        <v>113</v>
      </c>
      <c r="H764" s="18" t="str">
        <f>IFERROR(INDEX('المحافظات Governorates'!$E$2:$E$151,MATCH(D764,'المحافظات Governorates'!$A$2:$A$151,0)),"")</f>
        <v>Uqlat As-Suqur</v>
      </c>
      <c r="I764" s="18" t="str">
        <f>IFERROR(INDEX('المناطق Regions'!$C$2:$C$15,MATCH(B764,'المناطق Regions'!$A$2:$A$15,0)),"")</f>
        <v>Al-Qassim</v>
      </c>
      <c r="J764" s="18" t="str">
        <f>F764&amp;", "&amp;E764&amp;", Saudi Arabia"</f>
        <v>قطن, عقلة الصقور, Saudi Arabia</v>
      </c>
      <c r="K764" s="18">
        <v>26.006498</v>
      </c>
      <c r="L764" s="18">
        <v>42.344007</v>
      </c>
      <c r="M764" s="18">
        <v>2000</v>
      </c>
      <c r="N764" s="18" t="s">
        <v>562</v>
      </c>
    </row>
    <row r="765" ht="15" customHeight="1" spans="1:14" x14ac:dyDescent="0.25">
      <c r="A765" s="13" t="s">
        <v>2096</v>
      </c>
      <c r="B765" s="13">
        <v>4</v>
      </c>
      <c r="C765" s="14" t="s">
        <v>55</v>
      </c>
      <c r="D765" s="13" t="s">
        <v>292</v>
      </c>
      <c r="E765" s="14" t="s">
        <v>293</v>
      </c>
      <c r="F765" s="14" t="s">
        <v>2097</v>
      </c>
      <c r="G765" s="13" t="s">
        <v>149</v>
      </c>
      <c r="H765" s="18" t="str">
        <f>IFERROR(INDEX('المحافظات Governorates'!$E$2:$E$151,MATCH(D765,'المحافظات Governorates'!$A$2:$A$151,0)),"")</f>
        <v>Uqlat As-Suqur</v>
      </c>
      <c r="I765" s="18" t="str">
        <f>IFERROR(INDEX('المناطق Regions'!$C$2:$C$15,MATCH(B765,'المناطق Regions'!$A$2:$A$15,0)),"")</f>
        <v>Al-Qassim</v>
      </c>
      <c r="J765" s="18" t="str">
        <f>F765&amp;", "&amp;E765&amp;", Saudi Arabia"</f>
        <v>امباري, عقلة الصقور, Saudi Arabia</v>
      </c>
      <c r="K765" s="18">
        <v>26.055708</v>
      </c>
      <c r="L765" s="18">
        <v>42.241845</v>
      </c>
      <c r="M765" s="18">
        <v>2000</v>
      </c>
      <c r="N765" s="18" t="s">
        <v>562</v>
      </c>
    </row>
    <row r="766" ht="15" customHeight="1" spans="1:14" x14ac:dyDescent="0.25">
      <c r="A766" s="11" t="s">
        <v>2098</v>
      </c>
      <c r="B766" s="11">
        <v>4</v>
      </c>
      <c r="C766" s="12" t="s">
        <v>55</v>
      </c>
      <c r="D766" s="11" t="s">
        <v>292</v>
      </c>
      <c r="E766" s="12" t="s">
        <v>293</v>
      </c>
      <c r="F766" s="12" t="s">
        <v>2099</v>
      </c>
      <c r="G766" s="11" t="s">
        <v>113</v>
      </c>
      <c r="H766" s="18" t="str">
        <f>IFERROR(INDEX('المحافظات Governorates'!$E$2:$E$151,MATCH(D766,'المحافظات Governorates'!$A$2:$A$151,0)),"")</f>
        <v>Uqlat As-Suqur</v>
      </c>
      <c r="I766" s="18" t="str">
        <f>IFERROR(INDEX('المناطق Regions'!$C$2:$C$15,MATCH(B766,'المناطق Regions'!$A$2:$A$15,0)),"")</f>
        <v>Al-Qassim</v>
      </c>
      <c r="J766" s="18" t="str">
        <f>F766&amp;", "&amp;E766&amp;", Saudi Arabia"</f>
        <v>المحلانى, عقلة الصقور, Saudi Arabia</v>
      </c>
      <c r="K766" s="18">
        <v>25.844512</v>
      </c>
      <c r="L766" s="18">
        <v>42.201273</v>
      </c>
      <c r="M766" s="18">
        <v>2000</v>
      </c>
      <c r="N766" s="18" t="s">
        <v>562</v>
      </c>
    </row>
    <row r="767" ht="15" customHeight="1" spans="1:14" x14ac:dyDescent="0.25">
      <c r="A767" s="13" t="s">
        <v>2100</v>
      </c>
      <c r="B767" s="13">
        <v>4</v>
      </c>
      <c r="C767" s="14" t="s">
        <v>55</v>
      </c>
      <c r="D767" s="13" t="s">
        <v>292</v>
      </c>
      <c r="E767" s="14" t="s">
        <v>293</v>
      </c>
      <c r="F767" s="14" t="s">
        <v>2101</v>
      </c>
      <c r="G767" s="13" t="s">
        <v>149</v>
      </c>
      <c r="H767" s="18" t="str">
        <f>IFERROR(INDEX('المحافظات Governorates'!$E$2:$E$151,MATCH(D767,'المحافظات Governorates'!$A$2:$A$151,0)),"")</f>
        <v>Uqlat As-Suqur</v>
      </c>
      <c r="I767" s="18" t="str">
        <f>IFERROR(INDEX('المناطق Regions'!$C$2:$C$15,MATCH(B767,'المناطق Regions'!$A$2:$A$15,0)),"")</f>
        <v>Al-Qassim</v>
      </c>
      <c r="J767" s="18" t="str">
        <f>F767&amp;", "&amp;E767&amp;", Saudi Arabia"</f>
        <v>ذوقان الركايا, عقلة الصقور, Saudi Arabia</v>
      </c>
      <c r="K767" s="18">
        <v>25.784017</v>
      </c>
      <c r="L767" s="18">
        <v>42.036969</v>
      </c>
      <c r="M767" s="18">
        <v>2000</v>
      </c>
      <c r="N767" s="18" t="s">
        <v>562</v>
      </c>
    </row>
    <row r="768" ht="15" customHeight="1" spans="1:14" x14ac:dyDescent="0.25">
      <c r="A768" s="11" t="s">
        <v>2102</v>
      </c>
      <c r="B768" s="11">
        <v>4</v>
      </c>
      <c r="C768" s="12" t="s">
        <v>55</v>
      </c>
      <c r="D768" s="11" t="s">
        <v>292</v>
      </c>
      <c r="E768" s="12" t="s">
        <v>293</v>
      </c>
      <c r="F768" s="12" t="s">
        <v>2103</v>
      </c>
      <c r="G768" s="11" t="s">
        <v>149</v>
      </c>
      <c r="H768" s="18" t="str">
        <f>IFERROR(INDEX('المحافظات Governorates'!$E$2:$E$151,MATCH(D768,'المحافظات Governorates'!$A$2:$A$151,0)),"")</f>
        <v>Uqlat As-Suqur</v>
      </c>
      <c r="I768" s="18" t="str">
        <f>IFERROR(INDEX('المناطق Regions'!$C$2:$C$15,MATCH(B768,'المناطق Regions'!$A$2:$A$15,0)),"")</f>
        <v>Al-Qassim</v>
      </c>
      <c r="J768" s="18" t="str">
        <f>F768&amp;", "&amp;E768&amp;", Saudi Arabia"</f>
        <v>فيضه ذيبان, عقلة الصقور, Saudi Arabia</v>
      </c>
      <c r="K768" s="18">
        <v>25.878415</v>
      </c>
      <c r="L768" s="18">
        <v>41.918469</v>
      </c>
      <c r="M768" s="18">
        <v>2000</v>
      </c>
      <c r="N768" s="18" t="s">
        <v>562</v>
      </c>
    </row>
    <row r="769" ht="15" customHeight="1" spans="1:14" x14ac:dyDescent="0.25">
      <c r="A769" s="13" t="s">
        <v>2104</v>
      </c>
      <c r="B769" s="13">
        <v>4</v>
      </c>
      <c r="C769" s="14" t="s">
        <v>55</v>
      </c>
      <c r="D769" s="13" t="s">
        <v>292</v>
      </c>
      <c r="E769" s="14" t="s">
        <v>293</v>
      </c>
      <c r="F769" s="14" t="s">
        <v>2105</v>
      </c>
      <c r="G769" s="13" t="s">
        <v>113</v>
      </c>
      <c r="H769" s="18" t="str">
        <f>IFERROR(INDEX('المحافظات Governorates'!$E$2:$E$151,MATCH(D769,'المحافظات Governorates'!$A$2:$A$151,0)),"")</f>
        <v>Uqlat As-Suqur</v>
      </c>
      <c r="I769" s="18" t="str">
        <f>IFERROR(INDEX('المناطق Regions'!$C$2:$C$15,MATCH(B769,'المناطق Regions'!$A$2:$A$15,0)),"")</f>
        <v>Al-Qassim</v>
      </c>
      <c r="J769" s="18" t="str">
        <f>F769&amp;", "&amp;E769&amp;", Saudi Arabia"</f>
        <v>الحيسونية, عقلة الصقور, Saudi Arabia</v>
      </c>
      <c r="K769" s="18">
        <v>25.668001</v>
      </c>
      <c r="L769" s="18">
        <v>41.723833</v>
      </c>
      <c r="M769" s="18">
        <v>2000</v>
      </c>
      <c r="N769" s="18" t="s">
        <v>562</v>
      </c>
    </row>
    <row r="770" ht="15" customHeight="1" spans="1:14" x14ac:dyDescent="0.25">
      <c r="A770" s="11" t="s">
        <v>2106</v>
      </c>
      <c r="B770" s="11">
        <v>4</v>
      </c>
      <c r="C770" s="12" t="s">
        <v>55</v>
      </c>
      <c r="D770" s="11" t="s">
        <v>292</v>
      </c>
      <c r="E770" s="12" t="s">
        <v>293</v>
      </c>
      <c r="F770" s="12" t="s">
        <v>2107</v>
      </c>
      <c r="G770" s="11" t="s">
        <v>113</v>
      </c>
      <c r="H770" s="18" t="str">
        <f>IFERROR(INDEX('المحافظات Governorates'!$E$2:$E$151,MATCH(D770,'المحافظات Governorates'!$A$2:$A$151,0)),"")</f>
        <v>Uqlat As-Suqur</v>
      </c>
      <c r="I770" s="18" t="str">
        <f>IFERROR(INDEX('المناطق Regions'!$C$2:$C$15,MATCH(B770,'المناطق Regions'!$A$2:$A$15,0)),"")</f>
        <v>Al-Qassim</v>
      </c>
      <c r="J770" s="18" t="str">
        <f>F770&amp;", "&amp;E770&amp;", Saudi Arabia"</f>
        <v>النقره, عقلة الصقور, Saudi Arabia</v>
      </c>
      <c r="K770" s="18">
        <v>25.594196</v>
      </c>
      <c r="L770" s="18">
        <v>41.41777</v>
      </c>
      <c r="M770" s="18">
        <v>2000</v>
      </c>
      <c r="N770" s="18" t="s">
        <v>562</v>
      </c>
    </row>
    <row r="771" ht="15" customHeight="1" spans="1:14" x14ac:dyDescent="0.25">
      <c r="A771" s="13" t="s">
        <v>2108</v>
      </c>
      <c r="B771" s="13">
        <v>4</v>
      </c>
      <c r="C771" s="14" t="s">
        <v>55</v>
      </c>
      <c r="D771" s="13" t="s">
        <v>292</v>
      </c>
      <c r="E771" s="14" t="s">
        <v>293</v>
      </c>
      <c r="F771" s="14" t="s">
        <v>2109</v>
      </c>
      <c r="G771" s="13" t="s">
        <v>149</v>
      </c>
      <c r="H771" s="18" t="str">
        <f>IFERROR(INDEX('المحافظات Governorates'!$E$2:$E$151,MATCH(D771,'المحافظات Governorates'!$A$2:$A$151,0)),"")</f>
        <v>Uqlat As-Suqur</v>
      </c>
      <c r="I771" s="18" t="str">
        <f>IFERROR(INDEX('المناطق Regions'!$C$2:$C$15,MATCH(B771,'المناطق Regions'!$A$2:$A$15,0)),"")</f>
        <v>Al-Qassim</v>
      </c>
      <c r="J771" s="18" t="str">
        <f>F771&amp;", "&amp;E771&amp;", Saudi Arabia"</f>
        <v>الهميليه, عقلة الصقور, Saudi Arabia</v>
      </c>
      <c r="K771" s="18">
        <v>25.606964</v>
      </c>
      <c r="L771" s="18">
        <v>41.905782</v>
      </c>
      <c r="M771" s="18">
        <v>2000</v>
      </c>
      <c r="N771" s="18" t="s">
        <v>562</v>
      </c>
    </row>
    <row r="772" ht="15" customHeight="1" spans="1:14" x14ac:dyDescent="0.25">
      <c r="A772" s="11" t="s">
        <v>2110</v>
      </c>
      <c r="B772" s="11">
        <v>4</v>
      </c>
      <c r="C772" s="12" t="s">
        <v>55</v>
      </c>
      <c r="D772" s="11" t="s">
        <v>292</v>
      </c>
      <c r="E772" s="12" t="s">
        <v>293</v>
      </c>
      <c r="F772" s="12" t="s">
        <v>2111</v>
      </c>
      <c r="G772" s="11" t="s">
        <v>149</v>
      </c>
      <c r="H772" s="18" t="str">
        <f>IFERROR(INDEX('المحافظات Governorates'!$E$2:$E$151,MATCH(D772,'المحافظات Governorates'!$A$2:$A$151,0)),"")</f>
        <v>Uqlat As-Suqur</v>
      </c>
      <c r="I772" s="18" t="str">
        <f>IFERROR(INDEX('المناطق Regions'!$C$2:$C$15,MATCH(B772,'المناطق Regions'!$A$2:$A$15,0)),"")</f>
        <v>Al-Qassim</v>
      </c>
      <c r="J772" s="18" t="str">
        <f>F772&amp;", "&amp;E772&amp;", Saudi Arabia"</f>
        <v>العماير, عقلة الصقور, Saudi Arabia</v>
      </c>
      <c r="K772" s="18">
        <v>25.655548</v>
      </c>
      <c r="L772" s="18">
        <v>42.013013</v>
      </c>
      <c r="M772" s="18">
        <v>100391</v>
      </c>
      <c r="N772" s="18" t="s">
        <v>2112</v>
      </c>
    </row>
    <row r="773" ht="15" customHeight="1" spans="1:14" x14ac:dyDescent="0.25">
      <c r="A773" s="13" t="s">
        <v>2113</v>
      </c>
      <c r="B773" s="13">
        <v>4</v>
      </c>
      <c r="C773" s="14" t="s">
        <v>55</v>
      </c>
      <c r="D773" s="13" t="s">
        <v>292</v>
      </c>
      <c r="E773" s="14" t="s">
        <v>293</v>
      </c>
      <c r="F773" s="14" t="s">
        <v>2114</v>
      </c>
      <c r="G773" s="13" t="s">
        <v>149</v>
      </c>
      <c r="H773" s="18" t="str">
        <f>IFERROR(INDEX('المحافظات Governorates'!$E$2:$E$151,MATCH(D773,'المحافظات Governorates'!$A$2:$A$151,0)),"")</f>
        <v>Uqlat As-Suqur</v>
      </c>
      <c r="I773" s="18" t="str">
        <f>IFERROR(INDEX('المناطق Regions'!$C$2:$C$15,MATCH(B773,'المناطق Regions'!$A$2:$A$15,0)),"")</f>
        <v>Al-Qassim</v>
      </c>
      <c r="J773" s="18" t="str">
        <f>F773&amp;", "&amp;E773&amp;", Saudi Arabia"</f>
        <v>شقران الحاجر, عقلة الصقور, Saudi Arabia</v>
      </c>
      <c r="K773" s="18">
        <v>25.950921</v>
      </c>
      <c r="L773" s="18">
        <v>41.953429</v>
      </c>
      <c r="M773" s="18">
        <v>2000</v>
      </c>
      <c r="N773" s="18" t="s">
        <v>562</v>
      </c>
    </row>
    <row r="774" ht="15" customHeight="1" spans="1:14" x14ac:dyDescent="0.25">
      <c r="A774" s="11" t="s">
        <v>2115</v>
      </c>
      <c r="B774" s="11">
        <v>4</v>
      </c>
      <c r="C774" s="12" t="s">
        <v>55</v>
      </c>
      <c r="D774" s="11" t="s">
        <v>292</v>
      </c>
      <c r="E774" s="12" t="s">
        <v>293</v>
      </c>
      <c r="F774" s="12" t="s">
        <v>715</v>
      </c>
      <c r="G774" s="11" t="s">
        <v>113</v>
      </c>
      <c r="H774" s="18" t="str">
        <f>IFERROR(INDEX('المحافظات Governorates'!$E$2:$E$151,MATCH(D774,'المحافظات Governorates'!$A$2:$A$151,0)),"")</f>
        <v>Uqlat As-Suqur</v>
      </c>
      <c r="I774" s="18" t="str">
        <f>IFERROR(INDEX('المناطق Regions'!$C$2:$C$15,MATCH(B774,'المناطق Regions'!$A$2:$A$15,0)),"")</f>
        <v>Al-Qassim</v>
      </c>
      <c r="J774" s="18" t="str">
        <f>F774&amp;", "&amp;E774&amp;", Saudi Arabia"</f>
        <v>العقلة, عقلة الصقور, Saudi Arabia</v>
      </c>
      <c r="K774" s="18">
        <v>25.655548</v>
      </c>
      <c r="L774" s="18">
        <v>42.013013</v>
      </c>
      <c r="M774" s="18">
        <v>100391</v>
      </c>
      <c r="N774" s="18" t="s">
        <v>2112</v>
      </c>
    </row>
    <row r="775" ht="15" customHeight="1" spans="1:14" x14ac:dyDescent="0.25">
      <c r="A775" s="13" t="s">
        <v>2116</v>
      </c>
      <c r="B775" s="13">
        <v>4</v>
      </c>
      <c r="C775" s="14" t="s">
        <v>55</v>
      </c>
      <c r="D775" s="13" t="s">
        <v>295</v>
      </c>
      <c r="E775" s="14" t="s">
        <v>296</v>
      </c>
      <c r="F775" s="14" t="s">
        <v>2117</v>
      </c>
      <c r="G775" s="13" t="s">
        <v>113</v>
      </c>
      <c r="H775" s="18" t="str">
        <f>IFERROR(INDEX('المحافظات Governorates'!$E$2:$E$151,MATCH(D775,'المحافظات Governorates'!$A$2:$A$151,0)),"")</f>
        <v>Dhariyah</v>
      </c>
      <c r="I775" s="18" t="str">
        <f>IFERROR(INDEX('المناطق Regions'!$C$2:$C$15,MATCH(B775,'المناطق Regions'!$A$2:$A$15,0)),"")</f>
        <v>Al-Qassim</v>
      </c>
      <c r="J775" s="18" t="str">
        <f>F775&amp;", "&amp;E775&amp;", Saudi Arabia"</f>
        <v>مسكه, ضريه, Saudi Arabia</v>
      </c>
      <c r="K775" s="18">
        <v>24.816842</v>
      </c>
      <c r="L775" s="18">
        <v>42.92181</v>
      </c>
      <c r="M775" s="18">
        <v>2000</v>
      </c>
      <c r="N775" s="18" t="s">
        <v>562</v>
      </c>
    </row>
    <row r="776" ht="15" customHeight="1" spans="1:14" x14ac:dyDescent="0.25">
      <c r="A776" s="11" t="s">
        <v>2118</v>
      </c>
      <c r="B776" s="11">
        <v>4</v>
      </c>
      <c r="C776" s="12" t="s">
        <v>55</v>
      </c>
      <c r="D776" s="11" t="s">
        <v>295</v>
      </c>
      <c r="E776" s="12" t="s">
        <v>296</v>
      </c>
      <c r="F776" s="12" t="s">
        <v>2119</v>
      </c>
      <c r="G776" s="11" t="s">
        <v>113</v>
      </c>
      <c r="H776" s="18" t="str">
        <f>IFERROR(INDEX('المحافظات Governorates'!$E$2:$E$151,MATCH(D776,'المحافظات Governorates'!$A$2:$A$151,0)),"")</f>
        <v>Dhariyah</v>
      </c>
      <c r="I776" s="18" t="str">
        <f>IFERROR(INDEX('المناطق Regions'!$C$2:$C$15,MATCH(B776,'المناطق Regions'!$A$2:$A$15,0)),"")</f>
        <v>Al-Qassim</v>
      </c>
      <c r="J776" s="18" t="str">
        <f>F776&amp;", "&amp;E776&amp;", Saudi Arabia"</f>
        <v>الصمعوريه, ضريه, Saudi Arabia</v>
      </c>
      <c r="K776" s="18">
        <v>24.837792</v>
      </c>
      <c r="L776" s="18">
        <v>42.861238</v>
      </c>
      <c r="M776" s="18">
        <v>2000</v>
      </c>
      <c r="N776" s="18" t="s">
        <v>562</v>
      </c>
    </row>
    <row r="777" ht="15" customHeight="1" spans="1:14" x14ac:dyDescent="0.25">
      <c r="A777" s="13" t="s">
        <v>2120</v>
      </c>
      <c r="B777" s="13">
        <v>4</v>
      </c>
      <c r="C777" s="14" t="s">
        <v>55</v>
      </c>
      <c r="D777" s="13" t="s">
        <v>295</v>
      </c>
      <c r="E777" s="14" t="s">
        <v>296</v>
      </c>
      <c r="F777" s="14" t="s">
        <v>2121</v>
      </c>
      <c r="G777" s="13" t="s">
        <v>113</v>
      </c>
      <c r="H777" s="18" t="str">
        <f>IFERROR(INDEX('المحافظات Governorates'!$E$2:$E$151,MATCH(D777,'المحافظات Governorates'!$A$2:$A$151,0)),"")</f>
        <v>Dhariyah</v>
      </c>
      <c r="I777" s="18" t="str">
        <f>IFERROR(INDEX('المناطق Regions'!$C$2:$C$15,MATCH(B777,'المناطق Regions'!$A$2:$A$15,0)),"")</f>
        <v>Al-Qassim</v>
      </c>
      <c r="J777" s="18" t="str">
        <f>F777&amp;", "&amp;E777&amp;", Saudi Arabia"</f>
        <v>سلام, ضريه, Saudi Arabia</v>
      </c>
      <c r="K777" s="18">
        <v>24.750716</v>
      </c>
      <c r="L777" s="18">
        <v>46.571517</v>
      </c>
      <c r="M777" s="18">
        <v>2000</v>
      </c>
      <c r="N777" s="18" t="s">
        <v>642</v>
      </c>
    </row>
    <row r="778" ht="15" customHeight="1" spans="1:14" x14ac:dyDescent="0.25">
      <c r="A778" s="11" t="s">
        <v>2122</v>
      </c>
      <c r="B778" s="11">
        <v>4</v>
      </c>
      <c r="C778" s="12" t="s">
        <v>55</v>
      </c>
      <c r="D778" s="11" t="s">
        <v>295</v>
      </c>
      <c r="E778" s="12" t="s">
        <v>296</v>
      </c>
      <c r="F778" s="12" t="s">
        <v>2123</v>
      </c>
      <c r="G778" s="11" t="s">
        <v>149</v>
      </c>
      <c r="H778" s="18" t="str">
        <f>IFERROR(INDEX('المحافظات Governorates'!$E$2:$E$151,MATCH(D778,'المحافظات Governorates'!$A$2:$A$151,0)),"")</f>
        <v>Dhariyah</v>
      </c>
      <c r="I778" s="18" t="str">
        <f>IFERROR(INDEX('المناطق Regions'!$C$2:$C$15,MATCH(B778,'المناطق Regions'!$A$2:$A$15,0)),"")</f>
        <v>Al-Qassim</v>
      </c>
      <c r="J778" s="18" t="str">
        <f>F778&amp;", "&amp;E778&amp;", Saudi Arabia"</f>
        <v>المطيوى الجنوبي, ضريه, Saudi Arabia</v>
      </c>
      <c r="K778" s="18">
        <v>24.714539</v>
      </c>
      <c r="L778" s="18">
        <v>42.892144</v>
      </c>
      <c r="M778" s="18">
        <v>2000</v>
      </c>
      <c r="N778" s="18" t="s">
        <v>642</v>
      </c>
    </row>
    <row r="779" ht="15" customHeight="1" spans="1:14" x14ac:dyDescent="0.25">
      <c r="A779" s="13" t="s">
        <v>2124</v>
      </c>
      <c r="B779" s="13">
        <v>4</v>
      </c>
      <c r="C779" s="14" t="s">
        <v>55</v>
      </c>
      <c r="D779" s="13" t="s">
        <v>295</v>
      </c>
      <c r="E779" s="14" t="s">
        <v>296</v>
      </c>
      <c r="F779" s="14" t="s">
        <v>2125</v>
      </c>
      <c r="G779" s="13" t="s">
        <v>149</v>
      </c>
      <c r="H779" s="18" t="str">
        <f>IFERROR(INDEX('المحافظات Governorates'!$E$2:$E$151,MATCH(D779,'المحافظات Governorates'!$A$2:$A$151,0)),"")</f>
        <v>Dhariyah</v>
      </c>
      <c r="I779" s="18" t="str">
        <f>IFERROR(INDEX('المناطق Regions'!$C$2:$C$15,MATCH(B779,'المناطق Regions'!$A$2:$A$15,0)),"")</f>
        <v>Al-Qassim</v>
      </c>
      <c r="J779" s="18" t="str">
        <f>F779&amp;", "&amp;E779&amp;", Saudi Arabia"</f>
        <v>بقيعاء الجنوبيه, ضريه, Saudi Arabia</v>
      </c>
      <c r="K779" s="18">
        <v>25.047501</v>
      </c>
      <c r="L779" s="18">
        <v>43.000147</v>
      </c>
      <c r="M779" s="18">
        <v>2000</v>
      </c>
      <c r="N779" s="18" t="s">
        <v>562</v>
      </c>
    </row>
    <row r="780" ht="15" customHeight="1" spans="1:14" x14ac:dyDescent="0.25">
      <c r="A780" s="11" t="s">
        <v>2126</v>
      </c>
      <c r="B780" s="11">
        <v>4</v>
      </c>
      <c r="C780" s="12" t="s">
        <v>55</v>
      </c>
      <c r="D780" s="11" t="s">
        <v>295</v>
      </c>
      <c r="E780" s="12" t="s">
        <v>296</v>
      </c>
      <c r="F780" s="12" t="s">
        <v>2127</v>
      </c>
      <c r="G780" s="11" t="s">
        <v>149</v>
      </c>
      <c r="H780" s="18" t="str">
        <f>IFERROR(INDEX('المحافظات Governorates'!$E$2:$E$151,MATCH(D780,'المحافظات Governorates'!$A$2:$A$151,0)),"")</f>
        <v>Dhariyah</v>
      </c>
      <c r="I780" s="18" t="str">
        <f>IFERROR(INDEX('المناطق Regions'!$C$2:$C$15,MATCH(B780,'المناطق Regions'!$A$2:$A$15,0)),"")</f>
        <v>Al-Qassim</v>
      </c>
      <c r="J780" s="18" t="str">
        <f>F780&amp;", "&amp;E780&amp;", Saudi Arabia"</f>
        <v>بدائع الضبطان, ضريه, Saudi Arabia</v>
      </c>
      <c r="K780" s="18">
        <v>24.969617</v>
      </c>
      <c r="L780" s="18">
        <v>42.943265</v>
      </c>
      <c r="M780" s="18">
        <v>2000</v>
      </c>
      <c r="N780" s="18" t="s">
        <v>642</v>
      </c>
    </row>
    <row r="781" ht="15" customHeight="1" spans="1:14" x14ac:dyDescent="0.25">
      <c r="A781" s="13" t="s">
        <v>2128</v>
      </c>
      <c r="B781" s="13">
        <v>4</v>
      </c>
      <c r="C781" s="14" t="s">
        <v>55</v>
      </c>
      <c r="D781" s="13" t="s">
        <v>295</v>
      </c>
      <c r="E781" s="14" t="s">
        <v>296</v>
      </c>
      <c r="F781" s="14" t="s">
        <v>2129</v>
      </c>
      <c r="G781" s="13" t="s">
        <v>149</v>
      </c>
      <c r="H781" s="18" t="str">
        <f>IFERROR(INDEX('المحافظات Governorates'!$E$2:$E$151,MATCH(D781,'المحافظات Governorates'!$A$2:$A$151,0)),"")</f>
        <v>Dhariyah</v>
      </c>
      <c r="I781" s="18" t="str">
        <f>IFERROR(INDEX('المناطق Regions'!$C$2:$C$15,MATCH(B781,'المناطق Regions'!$A$2:$A$15,0)),"")</f>
        <v>Al-Qassim</v>
      </c>
      <c r="J781" s="18" t="str">
        <f>F781&amp;", "&amp;E781&amp;", Saudi Arabia"</f>
        <v>العاقر, ضريه, Saudi Arabia</v>
      </c>
      <c r="K781" s="18">
        <v>25.105543</v>
      </c>
      <c r="L781" s="18">
        <v>42.645219</v>
      </c>
      <c r="M781" s="18">
        <v>2000</v>
      </c>
      <c r="N781" s="18" t="s">
        <v>642</v>
      </c>
    </row>
    <row r="782" ht="15" customHeight="1" spans="1:14" x14ac:dyDescent="0.25">
      <c r="A782" s="11" t="s">
        <v>2130</v>
      </c>
      <c r="B782" s="11">
        <v>4</v>
      </c>
      <c r="C782" s="12" t="s">
        <v>55</v>
      </c>
      <c r="D782" s="11" t="s">
        <v>295</v>
      </c>
      <c r="E782" s="12" t="s">
        <v>296</v>
      </c>
      <c r="F782" s="12" t="s">
        <v>2131</v>
      </c>
      <c r="G782" s="11" t="s">
        <v>113</v>
      </c>
      <c r="H782" s="18" t="str">
        <f>IFERROR(INDEX('المحافظات Governorates'!$E$2:$E$151,MATCH(D782,'المحافظات Governorates'!$A$2:$A$151,0)),"")</f>
        <v>Dhariyah</v>
      </c>
      <c r="I782" s="18" t="str">
        <f>IFERROR(INDEX('المناطق Regions'!$C$2:$C$15,MATCH(B782,'المناطق Regions'!$A$2:$A$15,0)),"")</f>
        <v>Al-Qassim</v>
      </c>
      <c r="J782" s="18" t="str">
        <f>F782&amp;", "&amp;E782&amp;", Saudi Arabia"</f>
        <v>الظاهريه, ضريه, Saudi Arabia</v>
      </c>
      <c r="K782" s="18">
        <v>24.92789</v>
      </c>
      <c r="L782" s="18">
        <v>42.415101</v>
      </c>
      <c r="M782" s="18">
        <v>2000</v>
      </c>
      <c r="N782" s="18" t="s">
        <v>562</v>
      </c>
    </row>
    <row r="783" ht="15" customHeight="1" spans="1:14" x14ac:dyDescent="0.25">
      <c r="A783" s="13" t="s">
        <v>2132</v>
      </c>
      <c r="B783" s="13">
        <v>4</v>
      </c>
      <c r="C783" s="14" t="s">
        <v>55</v>
      </c>
      <c r="D783" s="13" t="s">
        <v>295</v>
      </c>
      <c r="E783" s="14" t="s">
        <v>296</v>
      </c>
      <c r="F783" s="14" t="s">
        <v>2133</v>
      </c>
      <c r="G783" s="13" t="s">
        <v>149</v>
      </c>
      <c r="H783" s="18" t="str">
        <f>IFERROR(INDEX('المحافظات Governorates'!$E$2:$E$151,MATCH(D783,'المحافظات Governorates'!$A$2:$A$151,0)),"")</f>
        <v>Dhariyah</v>
      </c>
      <c r="I783" s="18" t="str">
        <f>IFERROR(INDEX('المناطق Regions'!$C$2:$C$15,MATCH(B783,'المناطق Regions'!$A$2:$A$15,0)),"")</f>
        <v>Al-Qassim</v>
      </c>
      <c r="J783" s="18" t="str">
        <f>F783&amp;", "&amp;E783&amp;", Saudi Arabia"</f>
        <v>هرموله, ضريه, Saudi Arabia</v>
      </c>
      <c r="K783" s="18">
        <v>24.875467</v>
      </c>
      <c r="L783" s="18">
        <v>43.094065</v>
      </c>
      <c r="M783" s="18">
        <v>2000</v>
      </c>
      <c r="N783" s="18" t="s">
        <v>562</v>
      </c>
    </row>
    <row r="784" ht="15" customHeight="1" spans="1:14" x14ac:dyDescent="0.25">
      <c r="A784" s="11" t="s">
        <v>2134</v>
      </c>
      <c r="B784" s="11">
        <v>4</v>
      </c>
      <c r="C784" s="12" t="s">
        <v>55</v>
      </c>
      <c r="D784" s="11" t="s">
        <v>295</v>
      </c>
      <c r="E784" s="12" t="s">
        <v>296</v>
      </c>
      <c r="F784" s="12" t="s">
        <v>2135</v>
      </c>
      <c r="G784" s="11" t="s">
        <v>149</v>
      </c>
      <c r="H784" s="18" t="str">
        <f>IFERROR(INDEX('المحافظات Governorates'!$E$2:$E$151,MATCH(D784,'المحافظات Governorates'!$A$2:$A$151,0)),"")</f>
        <v>Dhariyah</v>
      </c>
      <c r="I784" s="18" t="str">
        <f>IFERROR(INDEX('المناطق Regions'!$C$2:$C$15,MATCH(B784,'المناطق Regions'!$A$2:$A$15,0)),"")</f>
        <v>Al-Qassim</v>
      </c>
      <c r="J784" s="18" t="str">
        <f>F784&amp;", "&amp;E784&amp;", Saudi Arabia"</f>
        <v>فيضه الريشيه, ضريه, Saudi Arabia</v>
      </c>
      <c r="K784" s="18">
        <v>25.052334</v>
      </c>
      <c r="L784" s="18">
        <v>42.387</v>
      </c>
      <c r="M784" s="18">
        <v>2000</v>
      </c>
      <c r="N784" s="18" t="s">
        <v>562</v>
      </c>
    </row>
    <row r="785" ht="15" customHeight="1" spans="1:14" x14ac:dyDescent="0.25">
      <c r="A785" s="13" t="s">
        <v>2136</v>
      </c>
      <c r="B785" s="13">
        <v>4</v>
      </c>
      <c r="C785" s="14" t="s">
        <v>55</v>
      </c>
      <c r="D785" s="13" t="s">
        <v>295</v>
      </c>
      <c r="E785" s="14" t="s">
        <v>296</v>
      </c>
      <c r="F785" s="14" t="s">
        <v>2137</v>
      </c>
      <c r="G785" s="13" t="s">
        <v>149</v>
      </c>
      <c r="H785" s="18" t="str">
        <f>IFERROR(INDEX('المحافظات Governorates'!$E$2:$E$151,MATCH(D785,'المحافظات Governorates'!$A$2:$A$151,0)),"")</f>
        <v>Dhariyah</v>
      </c>
      <c r="I785" s="18" t="str">
        <f>IFERROR(INDEX('المناطق Regions'!$C$2:$C$15,MATCH(B785,'المناطق Regions'!$A$2:$A$15,0)),"")</f>
        <v>Al-Qassim</v>
      </c>
      <c r="J785" s="18" t="str">
        <f>F785&amp;", "&amp;E785&amp;", Saudi Arabia"</f>
        <v>ليم, ضريه, Saudi Arabia</v>
      </c>
      <c r="K785" s="18">
        <v>24.89648</v>
      </c>
      <c r="L785" s="18">
        <v>43.021746</v>
      </c>
      <c r="M785" s="18">
        <v>2000</v>
      </c>
      <c r="N785" s="18" t="s">
        <v>642</v>
      </c>
    </row>
    <row r="786" ht="15" customHeight="1" spans="1:14" x14ac:dyDescent="0.25">
      <c r="A786" s="11" t="s">
        <v>2138</v>
      </c>
      <c r="B786" s="11">
        <v>4</v>
      </c>
      <c r="C786" s="12" t="s">
        <v>55</v>
      </c>
      <c r="D786" s="11" t="s">
        <v>295</v>
      </c>
      <c r="E786" s="12" t="s">
        <v>296</v>
      </c>
      <c r="F786" s="12" t="s">
        <v>650</v>
      </c>
      <c r="G786" s="11" t="s">
        <v>149</v>
      </c>
      <c r="H786" s="18" t="str">
        <f>IFERROR(INDEX('المحافظات Governorates'!$E$2:$E$151,MATCH(D786,'المحافظات Governorates'!$A$2:$A$151,0)),"")</f>
        <v>Dhariyah</v>
      </c>
      <c r="I786" s="18" t="str">
        <f>IFERROR(INDEX('المناطق Regions'!$C$2:$C$15,MATCH(B786,'المناطق Regions'!$A$2:$A$15,0)),"")</f>
        <v>Al-Qassim</v>
      </c>
      <c r="J786" s="18" t="str">
        <f>F786&amp;", "&amp;E786&amp;", Saudi Arabia"</f>
        <v>القاعيه, ضريه, Saudi Arabia</v>
      </c>
      <c r="K786" s="18">
        <v>24.903194</v>
      </c>
      <c r="L786" s="18">
        <v>42.16804</v>
      </c>
      <c r="M786" s="18">
        <v>2000</v>
      </c>
      <c r="N786" s="18" t="s">
        <v>562</v>
      </c>
    </row>
    <row r="787" ht="15" customHeight="1" spans="1:14" x14ac:dyDescent="0.25">
      <c r="A787" s="13" t="s">
        <v>2139</v>
      </c>
      <c r="B787" s="13">
        <v>4</v>
      </c>
      <c r="C787" s="14" t="s">
        <v>55</v>
      </c>
      <c r="D787" s="13" t="s">
        <v>295</v>
      </c>
      <c r="E787" s="14" t="s">
        <v>296</v>
      </c>
      <c r="F787" s="14" t="s">
        <v>2140</v>
      </c>
      <c r="G787" s="13" t="s">
        <v>149</v>
      </c>
      <c r="H787" s="18" t="str">
        <f>IFERROR(INDEX('المحافظات Governorates'!$E$2:$E$151,MATCH(D787,'المحافظات Governorates'!$A$2:$A$151,0)),"")</f>
        <v>Dhariyah</v>
      </c>
      <c r="I787" s="18" t="str">
        <f>IFERROR(INDEX('المناطق Regions'!$C$2:$C$15,MATCH(B787,'المناطق Regions'!$A$2:$A$15,0)),"")</f>
        <v>Al-Qassim</v>
      </c>
      <c r="J787" s="18" t="str">
        <f>F787&amp;", "&amp;E787&amp;", Saudi Arabia"</f>
        <v>صعينين, ضريه, Saudi Arabia</v>
      </c>
      <c r="K787" s="18">
        <v>25.158764</v>
      </c>
      <c r="L787" s="18">
        <v>42.556222</v>
      </c>
      <c r="M787" s="18">
        <v>2000</v>
      </c>
      <c r="N787" s="18" t="s">
        <v>642</v>
      </c>
    </row>
    <row r="788" ht="15" customHeight="1" spans="1:14" x14ac:dyDescent="0.25">
      <c r="A788" s="11" t="s">
        <v>2141</v>
      </c>
      <c r="B788" s="11">
        <v>5</v>
      </c>
      <c r="C788" s="12" t="s">
        <v>60</v>
      </c>
      <c r="D788" s="11" t="s">
        <v>298</v>
      </c>
      <c r="E788" s="12" t="s">
        <v>63</v>
      </c>
      <c r="F788" s="12" t="s">
        <v>2142</v>
      </c>
      <c r="G788" s="11" t="s">
        <v>113</v>
      </c>
      <c r="H788" s="18" t="str">
        <f>IFERROR(INDEX('المحافظات Governorates'!$E$2:$E$151,MATCH(D788,'المحافظات Governorates'!$A$2:$A$151,0)),"")</f>
        <v>Dammam</v>
      </c>
      <c r="I788" s="18" t="str">
        <f>IFERROR(INDEX('المناطق Regions'!$C$2:$C$15,MATCH(B788,'المناطق Regions'!$A$2:$A$15,0)),"")</f>
        <v>Eastern Province</v>
      </c>
      <c r="J788" s="18" t="str">
        <f>F788&amp;", "&amp;E788&amp;", Saudi Arabia"</f>
        <v>سحمه, الدمام, Saudi Arabia</v>
      </c>
      <c r="K788" s="18"/>
      <c r="L788" s="18"/>
      <c r="M788" s="18"/>
      <c r="N788" s="18" t="s">
        <v>1609</v>
      </c>
    </row>
    <row r="789" ht="15" customHeight="1" spans="1:14" x14ac:dyDescent="0.25">
      <c r="A789" s="13" t="s">
        <v>2143</v>
      </c>
      <c r="B789" s="13">
        <v>5</v>
      </c>
      <c r="C789" s="14" t="s">
        <v>60</v>
      </c>
      <c r="D789" s="13" t="s">
        <v>298</v>
      </c>
      <c r="E789" s="14" t="s">
        <v>63</v>
      </c>
      <c r="F789" s="14" t="s">
        <v>2144</v>
      </c>
      <c r="G789" s="13" t="s">
        <v>113</v>
      </c>
      <c r="H789" s="18" t="str">
        <f>IFERROR(INDEX('المحافظات Governorates'!$E$2:$E$151,MATCH(D789,'المحافظات Governorates'!$A$2:$A$151,0)),"")</f>
        <v>Dammam</v>
      </c>
      <c r="I789" s="18" t="str">
        <f>IFERROR(INDEX('المناطق Regions'!$C$2:$C$15,MATCH(B789,'المناطق Regions'!$A$2:$A$15,0)),"")</f>
        <v>Eastern Province</v>
      </c>
      <c r="J789" s="18" t="str">
        <f>F789&amp;", "&amp;E789&amp;", Saudi Arabia"</f>
        <v>ذاعبلوتن, الدمام, Saudi Arabia</v>
      </c>
      <c r="K789" s="18"/>
      <c r="L789" s="18"/>
      <c r="M789" s="18"/>
      <c r="N789" s="18" t="s">
        <v>1609</v>
      </c>
    </row>
    <row r="790" ht="15" customHeight="1" spans="1:14" x14ac:dyDescent="0.25">
      <c r="A790" s="11" t="s">
        <v>2145</v>
      </c>
      <c r="B790" s="11">
        <v>5</v>
      </c>
      <c r="C790" s="12" t="s">
        <v>60</v>
      </c>
      <c r="D790" s="11" t="s">
        <v>298</v>
      </c>
      <c r="E790" s="12" t="s">
        <v>63</v>
      </c>
      <c r="F790" s="12" t="s">
        <v>2146</v>
      </c>
      <c r="G790" s="11" t="s">
        <v>113</v>
      </c>
      <c r="H790" s="18" t="str">
        <f>IFERROR(INDEX('المحافظات Governorates'!$E$2:$E$151,MATCH(D790,'المحافظات Governorates'!$A$2:$A$151,0)),"")</f>
        <v>Dammam</v>
      </c>
      <c r="I790" s="18" t="str">
        <f>IFERROR(INDEX('المناطق Regions'!$C$2:$C$15,MATCH(B790,'المناطق Regions'!$A$2:$A$15,0)),"")</f>
        <v>Eastern Province</v>
      </c>
      <c r="J790" s="18" t="str">
        <f>F790&amp;", "&amp;E790&amp;", Saudi Arabia"</f>
        <v>الظهران, الدمام, Saudi Arabia</v>
      </c>
      <c r="K790" s="18">
        <v>26.296653</v>
      </c>
      <c r="L790" s="18">
        <v>50.120215</v>
      </c>
      <c r="M790" s="18">
        <v>2000</v>
      </c>
      <c r="N790" s="18" t="s">
        <v>642</v>
      </c>
    </row>
    <row r="791" ht="15" customHeight="1" spans="1:14" x14ac:dyDescent="0.25">
      <c r="A791" s="13" t="s">
        <v>2147</v>
      </c>
      <c r="B791" s="13">
        <v>5</v>
      </c>
      <c r="C791" s="14" t="s">
        <v>60</v>
      </c>
      <c r="D791" s="13" t="s">
        <v>299</v>
      </c>
      <c r="E791" s="14" t="s">
        <v>300</v>
      </c>
      <c r="F791" s="14" t="s">
        <v>2148</v>
      </c>
      <c r="G791" s="13" t="s">
        <v>113</v>
      </c>
      <c r="H791" s="18" t="str">
        <f>IFERROR(INDEX('المحافظات Governorates'!$E$2:$E$151,MATCH(D791,'المحافظات Governorates'!$A$2:$A$151,0)),"")</f>
        <v>Al-Ahsa</v>
      </c>
      <c r="I791" s="18" t="str">
        <f>IFERROR(INDEX('المناطق Regions'!$C$2:$C$15,MATCH(B791,'المناطق Regions'!$A$2:$A$15,0)),"")</f>
        <v>Eastern Province</v>
      </c>
      <c r="J791" s="18" t="str">
        <f>F791&amp;", "&amp;E791&amp;", Saudi Arabia"</f>
        <v>جوده, الاحساء, Saudi Arabia</v>
      </c>
      <c r="K791" s="18">
        <v>25.355072</v>
      </c>
      <c r="L791" s="18">
        <v>49.610104</v>
      </c>
      <c r="M791" s="18">
        <v>2000</v>
      </c>
      <c r="N791" s="18" t="s">
        <v>562</v>
      </c>
    </row>
    <row r="792" ht="15" customHeight="1" spans="1:14" x14ac:dyDescent="0.25">
      <c r="A792" s="11" t="s">
        <v>2149</v>
      </c>
      <c r="B792" s="11">
        <v>5</v>
      </c>
      <c r="C792" s="12" t="s">
        <v>60</v>
      </c>
      <c r="D792" s="11" t="s">
        <v>299</v>
      </c>
      <c r="E792" s="12" t="s">
        <v>300</v>
      </c>
      <c r="F792" s="12" t="s">
        <v>2150</v>
      </c>
      <c r="G792" s="11" t="s">
        <v>113</v>
      </c>
      <c r="H792" s="18" t="str">
        <f>IFERROR(INDEX('المحافظات Governorates'!$E$2:$E$151,MATCH(D792,'المحافظات Governorates'!$A$2:$A$151,0)),"")</f>
        <v>Al-Ahsa</v>
      </c>
      <c r="I792" s="18" t="str">
        <f>IFERROR(INDEX('المناطق Regions'!$C$2:$C$15,MATCH(B792,'المناطق Regions'!$A$2:$A$15,0)),"")</f>
        <v>Eastern Province</v>
      </c>
      <c r="J792" s="18" t="str">
        <f>F792&amp;", "&amp;E792&amp;", Saudi Arabia"</f>
        <v>عريعره, الاحساء, Saudi Arabia</v>
      </c>
      <c r="K792" s="18">
        <v>25.977396</v>
      </c>
      <c r="L792" s="18">
        <v>48.86878</v>
      </c>
      <c r="M792" s="18">
        <v>2000</v>
      </c>
      <c r="N792" s="18" t="s">
        <v>562</v>
      </c>
    </row>
    <row r="793" ht="15" customHeight="1" spans="1:14" x14ac:dyDescent="0.25">
      <c r="A793" s="13" t="s">
        <v>2151</v>
      </c>
      <c r="B793" s="13">
        <v>5</v>
      </c>
      <c r="C793" s="14" t="s">
        <v>60</v>
      </c>
      <c r="D793" s="13" t="s">
        <v>299</v>
      </c>
      <c r="E793" s="14" t="s">
        <v>300</v>
      </c>
      <c r="F793" s="14" t="s">
        <v>2152</v>
      </c>
      <c r="G793" s="13" t="s">
        <v>113</v>
      </c>
      <c r="H793" s="18" t="str">
        <f>IFERROR(INDEX('المحافظات Governorates'!$E$2:$E$151,MATCH(D793,'المحافظات Governorates'!$A$2:$A$151,0)),"")</f>
        <v>Al-Ahsa</v>
      </c>
      <c r="I793" s="18" t="str">
        <f>IFERROR(INDEX('المناطق Regions'!$C$2:$C$15,MATCH(B793,'المناطق Regions'!$A$2:$A$15,0)),"")</f>
        <v>Eastern Province</v>
      </c>
      <c r="J793" s="18" t="str">
        <f>F793&amp;", "&amp;E793&amp;", Saudi Arabia"</f>
        <v>يبرين, الاحساء, Saudi Arabia</v>
      </c>
      <c r="K793" s="18">
        <v>23.301459</v>
      </c>
      <c r="L793" s="18">
        <v>48.971733</v>
      </c>
      <c r="M793" s="18">
        <v>2000</v>
      </c>
      <c r="N793" s="18" t="s">
        <v>562</v>
      </c>
    </row>
    <row r="794" ht="15" customHeight="1" spans="1:14" x14ac:dyDescent="0.25">
      <c r="A794" s="11" t="s">
        <v>2153</v>
      </c>
      <c r="B794" s="11">
        <v>5</v>
      </c>
      <c r="C794" s="12" t="s">
        <v>60</v>
      </c>
      <c r="D794" s="11" t="s">
        <v>299</v>
      </c>
      <c r="E794" s="12" t="s">
        <v>300</v>
      </c>
      <c r="F794" s="12" t="s">
        <v>2154</v>
      </c>
      <c r="G794" s="11" t="s">
        <v>113</v>
      </c>
      <c r="H794" s="18" t="str">
        <f>IFERROR(INDEX('المحافظات Governorates'!$E$2:$E$151,MATCH(D794,'المحافظات Governorates'!$A$2:$A$151,0)),"")</f>
        <v>Al-Ahsa</v>
      </c>
      <c r="I794" s="18" t="str">
        <f>IFERROR(INDEX('المناطق Regions'!$C$2:$C$15,MATCH(B794,'المناطق Regions'!$A$2:$A$15,0)),"")</f>
        <v>Eastern Province</v>
      </c>
      <c r="J794" s="18" t="str">
        <f>F794&amp;", "&amp;E794&amp;", Saudi Arabia"</f>
        <v>الخن, الاحساء, Saudi Arabia</v>
      </c>
      <c r="K794" s="18">
        <v>23.303587</v>
      </c>
      <c r="L794" s="18">
        <v>49.252553</v>
      </c>
      <c r="M794" s="18">
        <v>2000</v>
      </c>
      <c r="N794" s="18" t="s">
        <v>562</v>
      </c>
    </row>
    <row r="795" ht="15" customHeight="1" spans="1:14" x14ac:dyDescent="0.25">
      <c r="A795" s="13" t="s">
        <v>2155</v>
      </c>
      <c r="B795" s="13">
        <v>5</v>
      </c>
      <c r="C795" s="14" t="s">
        <v>60</v>
      </c>
      <c r="D795" s="13" t="s">
        <v>299</v>
      </c>
      <c r="E795" s="14" t="s">
        <v>300</v>
      </c>
      <c r="F795" s="14" t="s">
        <v>1446</v>
      </c>
      <c r="G795" s="13" t="s">
        <v>113</v>
      </c>
      <c r="H795" s="18" t="str">
        <f>IFERROR(INDEX('المحافظات Governorates'!$E$2:$E$151,MATCH(D795,'المحافظات Governorates'!$A$2:$A$151,0)),"")</f>
        <v>Al-Ahsa</v>
      </c>
      <c r="I795" s="18" t="str">
        <f>IFERROR(INDEX('المناطق Regions'!$C$2:$C$15,MATCH(B795,'المناطق Regions'!$A$2:$A$15,0)),"")</f>
        <v>Eastern Province</v>
      </c>
      <c r="J795" s="18" t="str">
        <f>F795&amp;", "&amp;E795&amp;", Saudi Arabia"</f>
        <v>الحفاير, الاحساء, Saudi Arabia</v>
      </c>
      <c r="K795" s="18">
        <v>23.124997</v>
      </c>
      <c r="L795" s="18">
        <v>48.968405</v>
      </c>
      <c r="M795" s="18">
        <v>2000</v>
      </c>
      <c r="N795" s="18" t="s">
        <v>562</v>
      </c>
    </row>
    <row r="796" ht="15" customHeight="1" spans="1:14" x14ac:dyDescent="0.25">
      <c r="A796" s="11" t="s">
        <v>2156</v>
      </c>
      <c r="B796" s="11">
        <v>5</v>
      </c>
      <c r="C796" s="12" t="s">
        <v>60</v>
      </c>
      <c r="D796" s="11" t="s">
        <v>299</v>
      </c>
      <c r="E796" s="12" t="s">
        <v>300</v>
      </c>
      <c r="F796" s="12" t="s">
        <v>2157</v>
      </c>
      <c r="G796" s="11" t="s">
        <v>113</v>
      </c>
      <c r="H796" s="18" t="str">
        <f>IFERROR(INDEX('المحافظات Governorates'!$E$2:$E$151,MATCH(D796,'المحافظات Governorates'!$A$2:$A$151,0)),"")</f>
        <v>Al-Ahsa</v>
      </c>
      <c r="I796" s="18" t="str">
        <f>IFERROR(INDEX('المناطق Regions'!$C$2:$C$15,MATCH(B796,'المناطق Regions'!$A$2:$A$15,0)),"")</f>
        <v>Eastern Province</v>
      </c>
      <c r="J796" s="18" t="str">
        <f>F796&amp;", "&amp;E796&amp;", Saudi Arabia"</f>
        <v>الغويبه, الاحساء, Saudi Arabia</v>
      </c>
      <c r="K796" s="18">
        <v>25.257345</v>
      </c>
      <c r="L796" s="18">
        <v>49.689215</v>
      </c>
      <c r="M796" s="18">
        <v>2000</v>
      </c>
      <c r="N796" s="18" t="s">
        <v>562</v>
      </c>
    </row>
    <row r="797" ht="15" customHeight="1" spans="1:14" x14ac:dyDescent="0.25">
      <c r="A797" s="13" t="s">
        <v>2158</v>
      </c>
      <c r="B797" s="13">
        <v>5</v>
      </c>
      <c r="C797" s="14" t="s">
        <v>60</v>
      </c>
      <c r="D797" s="13" t="s">
        <v>299</v>
      </c>
      <c r="E797" s="14" t="s">
        <v>300</v>
      </c>
      <c r="F797" s="14" t="s">
        <v>2159</v>
      </c>
      <c r="G797" s="13" t="s">
        <v>113</v>
      </c>
      <c r="H797" s="18" t="str">
        <f>IFERROR(INDEX('المحافظات Governorates'!$E$2:$E$151,MATCH(D797,'المحافظات Governorates'!$A$2:$A$151,0)),"")</f>
        <v>Al-Ahsa</v>
      </c>
      <c r="I797" s="18" t="str">
        <f>IFERROR(INDEX('المناطق Regions'!$C$2:$C$15,MATCH(B797,'المناطق Regions'!$A$2:$A$15,0)),"")</f>
        <v>Eastern Province</v>
      </c>
      <c r="J797" s="18" t="str">
        <f>F797&amp;", "&amp;E797&amp;", Saudi Arabia"</f>
        <v>ام ربيعه, الاحساء, Saudi Arabia</v>
      </c>
      <c r="K797" s="18">
        <v>26.027834</v>
      </c>
      <c r="L797" s="18">
        <v>48.852408</v>
      </c>
      <c r="M797" s="18">
        <v>2000</v>
      </c>
      <c r="N797" s="18" t="s">
        <v>562</v>
      </c>
    </row>
    <row r="798" ht="15" customHeight="1" spans="1:14" x14ac:dyDescent="0.25">
      <c r="A798" s="11" t="s">
        <v>2160</v>
      </c>
      <c r="B798" s="11">
        <v>5</v>
      </c>
      <c r="C798" s="12" t="s">
        <v>60</v>
      </c>
      <c r="D798" s="11" t="s">
        <v>299</v>
      </c>
      <c r="E798" s="12" t="s">
        <v>300</v>
      </c>
      <c r="F798" s="12" t="s">
        <v>2161</v>
      </c>
      <c r="G798" s="11" t="s">
        <v>113</v>
      </c>
      <c r="H798" s="18" t="str">
        <f>IFERROR(INDEX('المحافظات Governorates'!$E$2:$E$151,MATCH(D798,'المحافظات Governorates'!$A$2:$A$151,0)),"")</f>
        <v>Al-Ahsa</v>
      </c>
      <c r="I798" s="18" t="str">
        <f>IFERROR(INDEX('المناطق Regions'!$C$2:$C$15,MATCH(B798,'المناطق Regions'!$A$2:$A$15,0)),"")</f>
        <v>Eastern Province</v>
      </c>
      <c r="J798" s="18" t="str">
        <f>F798&amp;", "&amp;E798&amp;", Saudi Arabia"</f>
        <v>ام اثله, الاحساء, Saudi Arabia</v>
      </c>
      <c r="K798" s="18">
        <v>23.156911</v>
      </c>
      <c r="L798" s="18">
        <v>49.326841</v>
      </c>
      <c r="M798" s="18">
        <v>2000</v>
      </c>
      <c r="N798" s="18" t="s">
        <v>562</v>
      </c>
    </row>
    <row r="799" ht="15" customHeight="1" spans="1:14" x14ac:dyDescent="0.25">
      <c r="A799" s="13" t="s">
        <v>2162</v>
      </c>
      <c r="B799" s="13">
        <v>5</v>
      </c>
      <c r="C799" s="14" t="s">
        <v>60</v>
      </c>
      <c r="D799" s="13" t="s">
        <v>299</v>
      </c>
      <c r="E799" s="14" t="s">
        <v>300</v>
      </c>
      <c r="F799" s="14" t="s">
        <v>2163</v>
      </c>
      <c r="G799" s="13" t="s">
        <v>113</v>
      </c>
      <c r="H799" s="18" t="str">
        <f>IFERROR(INDEX('المحافظات Governorates'!$E$2:$E$151,MATCH(D799,'المحافظات Governorates'!$A$2:$A$151,0)),"")</f>
        <v>Al-Ahsa</v>
      </c>
      <c r="I799" s="18" t="str">
        <f>IFERROR(INDEX('المناطق Regions'!$C$2:$C$15,MATCH(B799,'المناطق Regions'!$A$2:$A$15,0)),"")</f>
        <v>Eastern Province</v>
      </c>
      <c r="J799" s="18" t="str">
        <f>F799&amp;", "&amp;E799&amp;", Saudi Arabia"</f>
        <v>العيون, الاحساء, Saudi Arabia</v>
      </c>
      <c r="K799" s="18">
        <v>25.607645</v>
      </c>
      <c r="L799" s="18">
        <v>49.564949</v>
      </c>
      <c r="M799" s="18">
        <v>2000</v>
      </c>
      <c r="N799" s="18" t="s">
        <v>562</v>
      </c>
    </row>
    <row r="800" ht="15" customHeight="1" spans="1:14" x14ac:dyDescent="0.25">
      <c r="A800" s="11" t="s">
        <v>2164</v>
      </c>
      <c r="B800" s="11">
        <v>5</v>
      </c>
      <c r="C800" s="12" t="s">
        <v>60</v>
      </c>
      <c r="D800" s="11" t="s">
        <v>299</v>
      </c>
      <c r="E800" s="12" t="s">
        <v>300</v>
      </c>
      <c r="F800" s="12" t="s">
        <v>2165</v>
      </c>
      <c r="G800" s="11" t="s">
        <v>113</v>
      </c>
      <c r="H800" s="18" t="str">
        <f>IFERROR(INDEX('المحافظات Governorates'!$E$2:$E$151,MATCH(D800,'المحافظات Governorates'!$A$2:$A$151,0)),"")</f>
        <v>Al-Ahsa</v>
      </c>
      <c r="I800" s="18" t="str">
        <f>IFERROR(INDEX('المناطق Regions'!$C$2:$C$15,MATCH(B800,'المناطق Regions'!$A$2:$A$15,0)),"")</f>
        <v>Eastern Province</v>
      </c>
      <c r="J800" s="18" t="str">
        <f>F800&amp;", "&amp;E800&amp;", Saudi Arabia"</f>
        <v>العضيليه, الاحساء, Saudi Arabia</v>
      </c>
      <c r="K800" s="18">
        <v>25.140477</v>
      </c>
      <c r="L800" s="18">
        <v>49.299903</v>
      </c>
      <c r="M800" s="18">
        <v>2000</v>
      </c>
      <c r="N800" s="18" t="s">
        <v>562</v>
      </c>
    </row>
    <row r="801" ht="15" customHeight="1" spans="1:14" x14ac:dyDescent="0.25">
      <c r="A801" s="13" t="s">
        <v>2166</v>
      </c>
      <c r="B801" s="13">
        <v>5</v>
      </c>
      <c r="C801" s="14" t="s">
        <v>60</v>
      </c>
      <c r="D801" s="13" t="s">
        <v>299</v>
      </c>
      <c r="E801" s="14" t="s">
        <v>300</v>
      </c>
      <c r="F801" s="14" t="s">
        <v>2167</v>
      </c>
      <c r="G801" s="13" t="s">
        <v>113</v>
      </c>
      <c r="H801" s="18" t="str">
        <f>IFERROR(INDEX('المحافظات Governorates'!$E$2:$E$151,MATCH(D801,'المحافظات Governorates'!$A$2:$A$151,0)),"")</f>
        <v>Al-Ahsa</v>
      </c>
      <c r="I801" s="18" t="str">
        <f>IFERROR(INDEX('المناطق Regions'!$C$2:$C$15,MATCH(B801,'المناطق Regions'!$A$2:$A$15,0)),"")</f>
        <v>Eastern Province</v>
      </c>
      <c r="J801" s="18" t="str">
        <f>F801&amp;", "&amp;E801&amp;", Saudi Arabia"</f>
        <v>حرض, الاحساء, Saudi Arabia</v>
      </c>
      <c r="K801" s="18">
        <v>24.141899</v>
      </c>
      <c r="L801" s="18">
        <v>49.052984</v>
      </c>
      <c r="M801" s="18">
        <v>2000</v>
      </c>
      <c r="N801" s="18" t="s">
        <v>562</v>
      </c>
    </row>
    <row r="802" ht="15" customHeight="1" spans="1:14" x14ac:dyDescent="0.25">
      <c r="A802" s="11" t="s">
        <v>2168</v>
      </c>
      <c r="B802" s="11">
        <v>5</v>
      </c>
      <c r="C802" s="12" t="s">
        <v>60</v>
      </c>
      <c r="D802" s="11" t="s">
        <v>299</v>
      </c>
      <c r="E802" s="12" t="s">
        <v>300</v>
      </c>
      <c r="F802" s="12" t="s">
        <v>2169</v>
      </c>
      <c r="G802" s="11" t="s">
        <v>113</v>
      </c>
      <c r="H802" s="18" t="str">
        <f>IFERROR(INDEX('المحافظات Governorates'!$E$2:$E$151,MATCH(D802,'المحافظات Governorates'!$A$2:$A$151,0)),"")</f>
        <v>Al-Ahsa</v>
      </c>
      <c r="I802" s="18" t="str">
        <f>IFERROR(INDEX('المناطق Regions'!$C$2:$C$15,MATCH(B802,'المناطق Regions'!$A$2:$A$15,0)),"")</f>
        <v>Eastern Province</v>
      </c>
      <c r="J802" s="18" t="str">
        <f>F802&amp;", "&amp;E802&amp;", Saudi Arabia"</f>
        <v>خريص, الاحساء, Saudi Arabia</v>
      </c>
      <c r="K802" s="18">
        <v>25.086794</v>
      </c>
      <c r="L802" s="18">
        <v>48.041582</v>
      </c>
      <c r="M802" s="18">
        <v>2000</v>
      </c>
      <c r="N802" s="18" t="s">
        <v>562</v>
      </c>
    </row>
    <row r="803" ht="15" customHeight="1" spans="1:14" x14ac:dyDescent="0.25">
      <c r="A803" s="13" t="s">
        <v>2170</v>
      </c>
      <c r="B803" s="13">
        <v>5</v>
      </c>
      <c r="C803" s="14" t="s">
        <v>60</v>
      </c>
      <c r="D803" s="13" t="s">
        <v>299</v>
      </c>
      <c r="E803" s="14" t="s">
        <v>300</v>
      </c>
      <c r="F803" s="14" t="s">
        <v>2171</v>
      </c>
      <c r="G803" s="13" t="s">
        <v>113</v>
      </c>
      <c r="H803" s="18" t="str">
        <f>IFERROR(INDEX('المحافظات Governorates'!$E$2:$E$151,MATCH(D803,'المحافظات Governorates'!$A$2:$A$151,0)),"")</f>
        <v>Al-Ahsa</v>
      </c>
      <c r="I803" s="18" t="str">
        <f>IFERROR(INDEX('المناطق Regions'!$C$2:$C$15,MATCH(B803,'المناطق Regions'!$A$2:$A$15,0)),"")</f>
        <v>Eastern Province</v>
      </c>
      <c r="J803" s="18" t="str">
        <f>F803&amp;", "&amp;E803&amp;", Saudi Arabia"</f>
        <v>فضيله, الاحساء, Saudi Arabia</v>
      </c>
      <c r="K803" s="18">
        <v>24.537237</v>
      </c>
      <c r="L803" s="18">
        <v>49.327501</v>
      </c>
      <c r="M803" s="18">
        <v>2000</v>
      </c>
      <c r="N803" s="18" t="s">
        <v>562</v>
      </c>
    </row>
    <row r="804" ht="15" customHeight="1" spans="1:14" x14ac:dyDescent="0.25">
      <c r="A804" s="11" t="s">
        <v>2172</v>
      </c>
      <c r="B804" s="11">
        <v>5</v>
      </c>
      <c r="C804" s="12" t="s">
        <v>60</v>
      </c>
      <c r="D804" s="11" t="s">
        <v>299</v>
      </c>
      <c r="E804" s="12" t="s">
        <v>300</v>
      </c>
      <c r="F804" s="12" t="s">
        <v>2173</v>
      </c>
      <c r="G804" s="11" t="s">
        <v>149</v>
      </c>
      <c r="H804" s="18" t="str">
        <f>IFERROR(INDEX('المحافظات Governorates'!$E$2:$E$151,MATCH(D804,'المحافظات Governorates'!$A$2:$A$151,0)),"")</f>
        <v>Al-Ahsa</v>
      </c>
      <c r="I804" s="18" t="str">
        <f>IFERROR(INDEX('المناطق Regions'!$C$2:$C$15,MATCH(B804,'المناطق Regions'!$A$2:$A$15,0)),"")</f>
        <v>Eastern Province</v>
      </c>
      <c r="J804" s="18" t="str">
        <f>F804&amp;", "&amp;E804&amp;", Saudi Arabia"</f>
        <v>الزايدية, الاحساء, Saudi Arabia</v>
      </c>
      <c r="K804" s="18">
        <v>22.321984</v>
      </c>
      <c r="L804" s="18">
        <v>49.520832</v>
      </c>
      <c r="M804" s="18">
        <v>463610</v>
      </c>
      <c r="N804" s="18" t="s">
        <v>2174</v>
      </c>
    </row>
    <row r="805" ht="15" customHeight="1" spans="1:14" x14ac:dyDescent="0.25">
      <c r="A805" s="13" t="s">
        <v>2175</v>
      </c>
      <c r="B805" s="13">
        <v>5</v>
      </c>
      <c r="C805" s="14" t="s">
        <v>60</v>
      </c>
      <c r="D805" s="13" t="s">
        <v>299</v>
      </c>
      <c r="E805" s="14" t="s">
        <v>300</v>
      </c>
      <c r="F805" s="14" t="s">
        <v>2176</v>
      </c>
      <c r="G805" s="13" t="s">
        <v>113</v>
      </c>
      <c r="H805" s="18" t="str">
        <f>IFERROR(INDEX('المحافظات Governorates'!$E$2:$E$151,MATCH(D805,'المحافظات Governorates'!$A$2:$A$151,0)),"")</f>
        <v>Al-Ahsa</v>
      </c>
      <c r="I805" s="18" t="str">
        <f>IFERROR(INDEX('المناطق Regions'!$C$2:$C$15,MATCH(B805,'المناطق Regions'!$A$2:$A$15,0)),"")</f>
        <v>Eastern Province</v>
      </c>
      <c r="J805" s="18" t="str">
        <f>F805&amp;", "&amp;E805&amp;", Saudi Arabia"</f>
        <v>ام العراد, الاحساء, Saudi Arabia</v>
      </c>
      <c r="K805" s="18">
        <v>25.929613</v>
      </c>
      <c r="L805" s="18">
        <v>48.966015</v>
      </c>
      <c r="M805" s="18">
        <v>2000</v>
      </c>
      <c r="N805" s="18" t="s">
        <v>562</v>
      </c>
    </row>
    <row r="806" ht="15" customHeight="1" spans="1:14" x14ac:dyDescent="0.25">
      <c r="A806" s="11" t="s">
        <v>2177</v>
      </c>
      <c r="B806" s="11">
        <v>5</v>
      </c>
      <c r="C806" s="12" t="s">
        <v>60</v>
      </c>
      <c r="D806" s="11" t="s">
        <v>299</v>
      </c>
      <c r="E806" s="12" t="s">
        <v>300</v>
      </c>
      <c r="F806" s="12" t="s">
        <v>2178</v>
      </c>
      <c r="G806" s="11" t="s">
        <v>149</v>
      </c>
      <c r="H806" s="18" t="str">
        <f>IFERROR(INDEX('المحافظات Governorates'!$E$2:$E$151,MATCH(D806,'المحافظات Governorates'!$A$2:$A$151,0)),"")</f>
        <v>Al-Ahsa</v>
      </c>
      <c r="I806" s="18" t="str">
        <f>IFERROR(INDEX('المناطق Regions'!$C$2:$C$15,MATCH(B806,'المناطق Regions'!$A$2:$A$15,0)),"")</f>
        <v>Eastern Province</v>
      </c>
      <c r="J806" s="18" t="str">
        <f>F806&amp;", "&amp;E806&amp;", Saudi Arabia"</f>
        <v>هجرة السيح, الاحساء, Saudi Arabia</v>
      </c>
      <c r="K806" s="18">
        <v>22.321984</v>
      </c>
      <c r="L806" s="18">
        <v>49.520832</v>
      </c>
      <c r="M806" s="18">
        <v>463610</v>
      </c>
      <c r="N806" s="18" t="s">
        <v>2174</v>
      </c>
    </row>
    <row r="807" ht="15" customHeight="1" spans="1:14" x14ac:dyDescent="0.25">
      <c r="A807" s="13" t="s">
        <v>2179</v>
      </c>
      <c r="B807" s="13">
        <v>5</v>
      </c>
      <c r="C807" s="14" t="s">
        <v>60</v>
      </c>
      <c r="D807" s="13" t="s">
        <v>299</v>
      </c>
      <c r="E807" s="14" t="s">
        <v>300</v>
      </c>
      <c r="F807" s="14" t="s">
        <v>2180</v>
      </c>
      <c r="G807" s="13" t="s">
        <v>149</v>
      </c>
      <c r="H807" s="18" t="str">
        <f>IFERROR(INDEX('المحافظات Governorates'!$E$2:$E$151,MATCH(D807,'المحافظات Governorates'!$A$2:$A$151,0)),"")</f>
        <v>Al-Ahsa</v>
      </c>
      <c r="I807" s="18" t="str">
        <f>IFERROR(INDEX('المناطق Regions'!$C$2:$C$15,MATCH(B807,'المناطق Regions'!$A$2:$A$15,0)),"")</f>
        <v>Eastern Province</v>
      </c>
      <c r="J807" s="18" t="str">
        <f>F807&amp;", "&amp;E807&amp;", Saudi Arabia"</f>
        <v>الطويلة, الاحساء, Saudi Arabia</v>
      </c>
      <c r="K807" s="18">
        <v>24.267778</v>
      </c>
      <c r="L807" s="18">
        <v>49.648056</v>
      </c>
      <c r="M807" s="18">
        <v>2000</v>
      </c>
      <c r="N807" s="18" t="s">
        <v>562</v>
      </c>
    </row>
    <row r="808" ht="15" customHeight="1" spans="1:14" x14ac:dyDescent="0.25">
      <c r="A808" s="11" t="s">
        <v>2181</v>
      </c>
      <c r="B808" s="11">
        <v>5</v>
      </c>
      <c r="C808" s="12" t="s">
        <v>60</v>
      </c>
      <c r="D808" s="11" t="s">
        <v>299</v>
      </c>
      <c r="E808" s="12" t="s">
        <v>300</v>
      </c>
      <c r="F808" s="12" t="s">
        <v>2182</v>
      </c>
      <c r="G808" s="11" t="s">
        <v>149</v>
      </c>
      <c r="H808" s="18" t="str">
        <f>IFERROR(INDEX('المحافظات Governorates'!$E$2:$E$151,MATCH(D808,'المحافظات Governorates'!$A$2:$A$151,0)),"")</f>
        <v>Al-Ahsa</v>
      </c>
      <c r="I808" s="18" t="str">
        <f>IFERROR(INDEX('المناطق Regions'!$C$2:$C$15,MATCH(B808,'المناطق Regions'!$A$2:$A$15,0)),"")</f>
        <v>Eastern Province</v>
      </c>
      <c r="J808" s="18" t="str">
        <f>F808&amp;", "&amp;E808&amp;", Saudi Arabia"</f>
        <v>شجعة, الاحساء, Saudi Arabia</v>
      </c>
      <c r="K808" s="18">
        <v>24.969533</v>
      </c>
      <c r="L808" s="18">
        <v>49.518393</v>
      </c>
      <c r="M808" s="18">
        <v>2000</v>
      </c>
      <c r="N808" s="18" t="s">
        <v>562</v>
      </c>
    </row>
    <row r="809" ht="15" customHeight="1" spans="1:14" x14ac:dyDescent="0.25">
      <c r="A809" s="13" t="s">
        <v>2183</v>
      </c>
      <c r="B809" s="13">
        <v>5</v>
      </c>
      <c r="C809" s="14" t="s">
        <v>60</v>
      </c>
      <c r="D809" s="13" t="s">
        <v>299</v>
      </c>
      <c r="E809" s="14" t="s">
        <v>300</v>
      </c>
      <c r="F809" s="14" t="s">
        <v>2184</v>
      </c>
      <c r="G809" s="13" t="s">
        <v>149</v>
      </c>
      <c r="H809" s="18" t="str">
        <f>IFERROR(INDEX('المحافظات Governorates'!$E$2:$E$151,MATCH(D809,'المحافظات Governorates'!$A$2:$A$151,0)),"")</f>
        <v>Al-Ahsa</v>
      </c>
      <c r="I809" s="18" t="str">
        <f>IFERROR(INDEX('المناطق Regions'!$C$2:$C$15,MATCH(B809,'المناطق Regions'!$A$2:$A$15,0)),"")</f>
        <v>Eastern Province</v>
      </c>
      <c r="J809" s="18" t="str">
        <f>F809&amp;", "&amp;E809&amp;", Saudi Arabia"</f>
        <v>مريطبه, الاحساء, Saudi Arabia</v>
      </c>
      <c r="K809" s="18">
        <v>25.279376</v>
      </c>
      <c r="L809" s="18">
        <v>49.773775</v>
      </c>
      <c r="M809" s="18">
        <v>2000</v>
      </c>
      <c r="N809" s="18" t="s">
        <v>562</v>
      </c>
    </row>
    <row r="810" ht="15" customHeight="1" spans="1:14" x14ac:dyDescent="0.25">
      <c r="A810" s="11" t="s">
        <v>2185</v>
      </c>
      <c r="B810" s="11">
        <v>5</v>
      </c>
      <c r="C810" s="12" t="s">
        <v>60</v>
      </c>
      <c r="D810" s="11" t="s">
        <v>299</v>
      </c>
      <c r="E810" s="12" t="s">
        <v>300</v>
      </c>
      <c r="F810" s="12" t="s">
        <v>2186</v>
      </c>
      <c r="G810" s="11" t="s">
        <v>113</v>
      </c>
      <c r="H810" s="18" t="str">
        <f>IFERROR(INDEX('المحافظات Governorates'!$E$2:$E$151,MATCH(D810,'المحافظات Governorates'!$A$2:$A$151,0)),"")</f>
        <v>Al-Ahsa</v>
      </c>
      <c r="I810" s="18" t="str">
        <f>IFERROR(INDEX('المناطق Regions'!$C$2:$C$15,MATCH(B810,'المناطق Regions'!$A$2:$A$15,0)),"")</f>
        <v>Eastern Province</v>
      </c>
      <c r="J810" s="18" t="str">
        <f>F810&amp;", "&amp;E810&amp;", Saudi Arabia"</f>
        <v>العقير, الاحساء, Saudi Arabia</v>
      </c>
      <c r="K810" s="18">
        <v>25.6438</v>
      </c>
      <c r="L810" s="18">
        <v>50.2149</v>
      </c>
      <c r="M810" s="18">
        <v>2000</v>
      </c>
      <c r="N810" s="18" t="s">
        <v>562</v>
      </c>
    </row>
    <row r="811" ht="15" customHeight="1" spans="1:14" x14ac:dyDescent="0.25">
      <c r="A811" s="13" t="s">
        <v>2187</v>
      </c>
      <c r="B811" s="13">
        <v>5</v>
      </c>
      <c r="C811" s="14" t="s">
        <v>60</v>
      </c>
      <c r="D811" s="13" t="s">
        <v>299</v>
      </c>
      <c r="E811" s="14" t="s">
        <v>300</v>
      </c>
      <c r="F811" s="14" t="s">
        <v>2188</v>
      </c>
      <c r="G811" s="13" t="s">
        <v>149</v>
      </c>
      <c r="H811" s="18" t="str">
        <f>IFERROR(INDEX('المحافظات Governorates'!$E$2:$E$151,MATCH(D811,'المحافظات Governorates'!$A$2:$A$151,0)),"")</f>
        <v>Al-Ahsa</v>
      </c>
      <c r="I811" s="18" t="str">
        <f>IFERROR(INDEX('المناطق Regions'!$C$2:$C$15,MATCH(B811,'المناطق Regions'!$A$2:$A$15,0)),"")</f>
        <v>Eastern Province</v>
      </c>
      <c r="J811" s="18" t="str">
        <f>F811&amp;", "&amp;E811&amp;", Saudi Arabia"</f>
        <v>الدهو, الاحساء, Saudi Arabia</v>
      </c>
      <c r="K811" s="18">
        <v>25.554124</v>
      </c>
      <c r="L811" s="18">
        <v>47.984703</v>
      </c>
      <c r="M811" s="18">
        <v>2000</v>
      </c>
      <c r="N811" s="18" t="s">
        <v>562</v>
      </c>
    </row>
    <row r="812" ht="15" customHeight="1" spans="1:14" x14ac:dyDescent="0.25">
      <c r="A812" s="11" t="s">
        <v>2189</v>
      </c>
      <c r="B812" s="11">
        <v>5</v>
      </c>
      <c r="C812" s="12" t="s">
        <v>60</v>
      </c>
      <c r="D812" s="11" t="s">
        <v>299</v>
      </c>
      <c r="E812" s="12" t="s">
        <v>300</v>
      </c>
      <c r="F812" s="12" t="s">
        <v>2190</v>
      </c>
      <c r="G812" s="11" t="s">
        <v>149</v>
      </c>
      <c r="H812" s="18" t="str">
        <f>IFERROR(INDEX('المحافظات Governorates'!$E$2:$E$151,MATCH(D812,'المحافظات Governorates'!$A$2:$A$151,0)),"")</f>
        <v>Al-Ahsa</v>
      </c>
      <c r="I812" s="18" t="str">
        <f>IFERROR(INDEX('المناطق Regions'!$C$2:$C$15,MATCH(B812,'المناطق Regions'!$A$2:$A$15,0)),"")</f>
        <v>Eastern Province</v>
      </c>
      <c r="J812" s="18" t="str">
        <f>F812&amp;", "&amp;E812&amp;", Saudi Arabia"</f>
        <v>السالمية, الاحساء, Saudi Arabia</v>
      </c>
      <c r="K812" s="18">
        <v>22.321984</v>
      </c>
      <c r="L812" s="18">
        <v>49.520832</v>
      </c>
      <c r="M812" s="18">
        <v>463610</v>
      </c>
      <c r="N812" s="18" t="s">
        <v>2174</v>
      </c>
    </row>
    <row r="813" ht="15" customHeight="1" spans="1:14" x14ac:dyDescent="0.25">
      <c r="A813" s="13" t="s">
        <v>2191</v>
      </c>
      <c r="B813" s="13">
        <v>5</v>
      </c>
      <c r="C813" s="14" t="s">
        <v>60</v>
      </c>
      <c r="D813" s="13" t="s">
        <v>302</v>
      </c>
      <c r="E813" s="14" t="s">
        <v>303</v>
      </c>
      <c r="F813" s="14" t="s">
        <v>2004</v>
      </c>
      <c r="G813" s="13" t="s">
        <v>113</v>
      </c>
      <c r="H813" s="18" t="str">
        <f>IFERROR(INDEX('المحافظات Governorates'!$E$2:$E$151,MATCH(D813,'المحافظات Governorates'!$A$2:$A$151,0)),"")</f>
        <v>Hafr Al-Batin</v>
      </c>
      <c r="I813" s="18" t="str">
        <f>IFERROR(INDEX('المناطق Regions'!$C$2:$C$15,MATCH(B813,'المناطق Regions'!$A$2:$A$15,0)),"")</f>
        <v>Eastern Province</v>
      </c>
      <c r="J813" s="18" t="str">
        <f>F813&amp;", "&amp;E813&amp;", Saudi Arabia"</f>
        <v>القيصومه, حفر الباطن, Saudi Arabia</v>
      </c>
      <c r="K813" s="18">
        <v>28.309716</v>
      </c>
      <c r="L813" s="18">
        <v>46.127502</v>
      </c>
      <c r="M813" s="18">
        <v>2000</v>
      </c>
      <c r="N813" s="18" t="s">
        <v>562</v>
      </c>
    </row>
    <row r="814" ht="15" customHeight="1" spans="1:14" x14ac:dyDescent="0.25">
      <c r="A814" s="11" t="s">
        <v>2192</v>
      </c>
      <c r="B814" s="11">
        <v>5</v>
      </c>
      <c r="C814" s="12" t="s">
        <v>60</v>
      </c>
      <c r="D814" s="11" t="s">
        <v>302</v>
      </c>
      <c r="E814" s="12" t="s">
        <v>303</v>
      </c>
      <c r="F814" s="12" t="s">
        <v>2193</v>
      </c>
      <c r="G814" s="11" t="s">
        <v>113</v>
      </c>
      <c r="H814" s="18" t="str">
        <f>IFERROR(INDEX('المحافظات Governorates'!$E$2:$E$151,MATCH(D814,'المحافظات Governorates'!$A$2:$A$151,0)),"")</f>
        <v>Hafr Al-Batin</v>
      </c>
      <c r="I814" s="18" t="str">
        <f>IFERROR(INDEX('المناطق Regions'!$C$2:$C$15,MATCH(B814,'المناطق Regions'!$A$2:$A$15,0)),"")</f>
        <v>Eastern Province</v>
      </c>
      <c r="J814" s="18" t="str">
        <f>F814&amp;", "&amp;E814&amp;", Saudi Arabia"</f>
        <v>القلت, حفر الباطن, Saudi Arabia</v>
      </c>
      <c r="K814" s="18">
        <v>28.613723</v>
      </c>
      <c r="L814" s="18">
        <v>45.361153</v>
      </c>
      <c r="M814" s="18">
        <v>2000</v>
      </c>
      <c r="N814" s="18" t="s">
        <v>642</v>
      </c>
    </row>
    <row r="815" ht="15" customHeight="1" spans="1:14" x14ac:dyDescent="0.25">
      <c r="A815" s="13" t="s">
        <v>2194</v>
      </c>
      <c r="B815" s="13">
        <v>5</v>
      </c>
      <c r="C815" s="14" t="s">
        <v>60</v>
      </c>
      <c r="D815" s="13" t="s">
        <v>302</v>
      </c>
      <c r="E815" s="14" t="s">
        <v>303</v>
      </c>
      <c r="F815" s="14" t="s">
        <v>2195</v>
      </c>
      <c r="G815" s="13" t="s">
        <v>113</v>
      </c>
      <c r="H815" s="18" t="str">
        <f>IFERROR(INDEX('المحافظات Governorates'!$E$2:$E$151,MATCH(D815,'المحافظات Governorates'!$A$2:$A$151,0)),"")</f>
        <v>Hafr Al-Batin</v>
      </c>
      <c r="I815" s="18" t="str">
        <f>IFERROR(INDEX('المناطق Regions'!$C$2:$C$15,MATCH(B815,'المناطق Regions'!$A$2:$A$15,0)),"")</f>
        <v>Eastern Province</v>
      </c>
      <c r="J815" s="18" t="str">
        <f>F815&amp;", "&amp;E815&amp;", Saudi Arabia"</f>
        <v>المتياهه الجنوبيه, حفر الباطن, Saudi Arabia</v>
      </c>
      <c r="K815" s="18">
        <v>28.255509</v>
      </c>
      <c r="L815" s="18">
        <v>46.163827</v>
      </c>
      <c r="M815" s="18">
        <v>192385</v>
      </c>
      <c r="N815" s="18" t="s">
        <v>2196</v>
      </c>
    </row>
    <row r="816" ht="15" customHeight="1" spans="1:14" x14ac:dyDescent="0.25">
      <c r="A816" s="11" t="s">
        <v>2197</v>
      </c>
      <c r="B816" s="11">
        <v>5</v>
      </c>
      <c r="C816" s="12" t="s">
        <v>60</v>
      </c>
      <c r="D816" s="11" t="s">
        <v>302</v>
      </c>
      <c r="E816" s="12" t="s">
        <v>303</v>
      </c>
      <c r="F816" s="12" t="s">
        <v>2198</v>
      </c>
      <c r="G816" s="11" t="s">
        <v>113</v>
      </c>
      <c r="H816" s="18" t="str">
        <f>IFERROR(INDEX('المحافظات Governorates'!$E$2:$E$151,MATCH(D816,'المحافظات Governorates'!$A$2:$A$151,0)),"")</f>
        <v>Hafr Al-Batin</v>
      </c>
      <c r="I816" s="18" t="str">
        <f>IFERROR(INDEX('المناطق Regions'!$C$2:$C$15,MATCH(B816,'المناطق Regions'!$A$2:$A$15,0)),"")</f>
        <v>Eastern Province</v>
      </c>
      <c r="J816" s="18" t="str">
        <f>F816&amp;", "&amp;E816&amp;", Saudi Arabia"</f>
        <v>الرقعى, حفر الباطن, Saudi Arabia</v>
      </c>
      <c r="K816" s="18">
        <v>29.078333</v>
      </c>
      <c r="L816" s="18">
        <v>46.6375</v>
      </c>
      <c r="M816" s="18">
        <v>2000</v>
      </c>
      <c r="N816" s="18" t="s">
        <v>642</v>
      </c>
    </row>
    <row r="817" ht="15" customHeight="1" spans="1:14" x14ac:dyDescent="0.25">
      <c r="A817" s="13" t="s">
        <v>2199</v>
      </c>
      <c r="B817" s="13">
        <v>5</v>
      </c>
      <c r="C817" s="14" t="s">
        <v>60</v>
      </c>
      <c r="D817" s="13" t="s">
        <v>302</v>
      </c>
      <c r="E817" s="14" t="s">
        <v>303</v>
      </c>
      <c r="F817" s="14" t="s">
        <v>2200</v>
      </c>
      <c r="G817" s="13" t="s">
        <v>113</v>
      </c>
      <c r="H817" s="18" t="str">
        <f>IFERROR(INDEX('المحافظات Governorates'!$E$2:$E$151,MATCH(D817,'المحافظات Governorates'!$A$2:$A$151,0)),"")</f>
        <v>Hafr Al-Batin</v>
      </c>
      <c r="I817" s="18" t="str">
        <f>IFERROR(INDEX('المناطق Regions'!$C$2:$C$15,MATCH(B817,'المناطق Regions'!$A$2:$A$15,0)),"")</f>
        <v>Eastern Province</v>
      </c>
      <c r="J817" s="18" t="str">
        <f>F817&amp;", "&amp;E817&amp;", Saudi Arabia"</f>
        <v>الصداوى, حفر الباطن, Saudi Arabia</v>
      </c>
      <c r="K817" s="18">
        <v>28.110439</v>
      </c>
      <c r="L817" s="18">
        <v>46.716127</v>
      </c>
      <c r="M817" s="18">
        <v>2000</v>
      </c>
      <c r="N817" s="18" t="s">
        <v>642</v>
      </c>
    </row>
    <row r="818" ht="15" customHeight="1" spans="1:14" x14ac:dyDescent="0.25">
      <c r="A818" s="11" t="s">
        <v>2201</v>
      </c>
      <c r="B818" s="11">
        <v>5</v>
      </c>
      <c r="C818" s="12" t="s">
        <v>60</v>
      </c>
      <c r="D818" s="11" t="s">
        <v>302</v>
      </c>
      <c r="E818" s="12" t="s">
        <v>303</v>
      </c>
      <c r="F818" s="12" t="s">
        <v>2202</v>
      </c>
      <c r="G818" s="11" t="s">
        <v>113</v>
      </c>
      <c r="H818" s="18" t="str">
        <f>IFERROR(INDEX('المحافظات Governorates'!$E$2:$E$151,MATCH(D818,'المحافظات Governorates'!$A$2:$A$151,0)),"")</f>
        <v>Hafr Al-Batin</v>
      </c>
      <c r="I818" s="18" t="str">
        <f>IFERROR(INDEX('المناطق Regions'!$C$2:$C$15,MATCH(B818,'المناطق Regions'!$A$2:$A$15,0)),"")</f>
        <v>Eastern Province</v>
      </c>
      <c r="J818" s="18" t="str">
        <f>F818&amp;", "&amp;E818&amp;", Saudi Arabia"</f>
        <v>النظيم, حفر الباطن, Saudi Arabia</v>
      </c>
      <c r="K818" s="18">
        <v>28.655963</v>
      </c>
      <c r="L818" s="18">
        <v>45.222348</v>
      </c>
      <c r="M818" s="18">
        <v>2000</v>
      </c>
      <c r="N818" s="18" t="s">
        <v>642</v>
      </c>
    </row>
    <row r="819" ht="15" customHeight="1" spans="1:14" x14ac:dyDescent="0.25">
      <c r="A819" s="13" t="s">
        <v>2203</v>
      </c>
      <c r="B819" s="13">
        <v>5</v>
      </c>
      <c r="C819" s="14" t="s">
        <v>60</v>
      </c>
      <c r="D819" s="13" t="s">
        <v>302</v>
      </c>
      <c r="E819" s="14" t="s">
        <v>303</v>
      </c>
      <c r="F819" s="14" t="s">
        <v>2204</v>
      </c>
      <c r="G819" s="13" t="s">
        <v>113</v>
      </c>
      <c r="H819" s="18" t="str">
        <f>IFERROR(INDEX('المحافظات Governorates'!$E$2:$E$151,MATCH(D819,'المحافظات Governorates'!$A$2:$A$151,0)),"")</f>
        <v>Hafr Al-Batin</v>
      </c>
      <c r="I819" s="18" t="str">
        <f>IFERROR(INDEX('المناطق Regions'!$C$2:$C$15,MATCH(B819,'المناطق Regions'!$A$2:$A$15,0)),"")</f>
        <v>Eastern Province</v>
      </c>
      <c r="J819" s="18" t="str">
        <f>F819&amp;", "&amp;E819&amp;", Saudi Arabia"</f>
        <v>ام قليب, حفر الباطن, Saudi Arabia</v>
      </c>
      <c r="K819" s="18">
        <v>27.838897</v>
      </c>
      <c r="L819" s="18">
        <v>45.980618</v>
      </c>
      <c r="M819" s="18">
        <v>2000</v>
      </c>
      <c r="N819" s="18" t="s">
        <v>642</v>
      </c>
    </row>
    <row r="820" ht="15" customHeight="1" spans="1:14" x14ac:dyDescent="0.25">
      <c r="A820" s="11" t="s">
        <v>2205</v>
      </c>
      <c r="B820" s="11">
        <v>5</v>
      </c>
      <c r="C820" s="12" t="s">
        <v>60</v>
      </c>
      <c r="D820" s="11" t="s">
        <v>302</v>
      </c>
      <c r="E820" s="12" t="s">
        <v>303</v>
      </c>
      <c r="F820" s="12" t="s">
        <v>1912</v>
      </c>
      <c r="G820" s="11" t="s">
        <v>113</v>
      </c>
      <c r="H820" s="18" t="str">
        <f>IFERROR(INDEX('المحافظات Governorates'!$E$2:$E$151,MATCH(D820,'المحافظات Governorates'!$A$2:$A$151,0)),"")</f>
        <v>Hafr Al-Batin</v>
      </c>
      <c r="I820" s="18" t="str">
        <f>IFERROR(INDEX('المناطق Regions'!$C$2:$C$15,MATCH(B820,'المناطق Regions'!$A$2:$A$15,0)),"")</f>
        <v>Eastern Province</v>
      </c>
      <c r="J820" s="18" t="str">
        <f>F820&amp;", "&amp;E820&amp;", Saudi Arabia"</f>
        <v>الذيبيه, حفر الباطن, Saudi Arabia</v>
      </c>
      <c r="K820" s="18">
        <v>28.122048</v>
      </c>
      <c r="L820" s="18">
        <v>45.667071</v>
      </c>
      <c r="M820" s="18">
        <v>2000</v>
      </c>
      <c r="N820" s="18" t="s">
        <v>562</v>
      </c>
    </row>
    <row r="821" ht="15" customHeight="1" spans="1:14" x14ac:dyDescent="0.25">
      <c r="A821" s="13" t="s">
        <v>2206</v>
      </c>
      <c r="B821" s="13">
        <v>5</v>
      </c>
      <c r="C821" s="14" t="s">
        <v>60</v>
      </c>
      <c r="D821" s="13" t="s">
        <v>302</v>
      </c>
      <c r="E821" s="14" t="s">
        <v>303</v>
      </c>
      <c r="F821" s="14" t="s">
        <v>2207</v>
      </c>
      <c r="G821" s="13" t="s">
        <v>113</v>
      </c>
      <c r="H821" s="18" t="str">
        <f>IFERROR(INDEX('المحافظات Governorates'!$E$2:$E$151,MATCH(D821,'المحافظات Governorates'!$A$2:$A$151,0)),"")</f>
        <v>Hafr Al-Batin</v>
      </c>
      <c r="I821" s="18" t="str">
        <f>IFERROR(INDEX('المناطق Regions'!$C$2:$C$15,MATCH(B821,'المناطق Regions'!$A$2:$A$15,0)),"")</f>
        <v>Eastern Province</v>
      </c>
      <c r="J821" s="18" t="str">
        <f>F821&amp;", "&amp;E821&amp;", Saudi Arabia"</f>
        <v>السعيره, حفر الباطن, Saudi Arabia</v>
      </c>
      <c r="K821" s="18">
        <v>27.8225</v>
      </c>
      <c r="L821" s="18">
        <v>47.5125</v>
      </c>
      <c r="M821" s="18">
        <v>2000</v>
      </c>
      <c r="N821" s="18" t="s">
        <v>562</v>
      </c>
    </row>
    <row r="822" ht="15" customHeight="1" spans="1:14" x14ac:dyDescent="0.25">
      <c r="A822" s="11" t="s">
        <v>2208</v>
      </c>
      <c r="B822" s="11">
        <v>5</v>
      </c>
      <c r="C822" s="12" t="s">
        <v>60</v>
      </c>
      <c r="D822" s="11" t="s">
        <v>302</v>
      </c>
      <c r="E822" s="12" t="s">
        <v>303</v>
      </c>
      <c r="F822" s="12" t="s">
        <v>2209</v>
      </c>
      <c r="G822" s="11" t="s">
        <v>149</v>
      </c>
      <c r="H822" s="18" t="str">
        <f>IFERROR(INDEX('المحافظات Governorates'!$E$2:$E$151,MATCH(D822,'المحافظات Governorates'!$A$2:$A$151,0)),"")</f>
        <v>Hafr Al-Batin</v>
      </c>
      <c r="I822" s="18" t="str">
        <f>IFERROR(INDEX('المناطق Regions'!$C$2:$C$15,MATCH(B822,'المناطق Regions'!$A$2:$A$15,0)),"")</f>
        <v>Eastern Province</v>
      </c>
      <c r="J822" s="18" t="str">
        <f>F822&amp;", "&amp;E822&amp;", Saudi Arabia"</f>
        <v>الحماطيات, حفر الباطن, Saudi Arabia</v>
      </c>
      <c r="K822" s="18">
        <v>28.78472</v>
      </c>
      <c r="L822" s="18">
        <v>47.484636</v>
      </c>
      <c r="M822" s="18">
        <v>2000</v>
      </c>
      <c r="N822" s="18" t="s">
        <v>642</v>
      </c>
    </row>
    <row r="823" ht="15" customHeight="1" spans="1:14" x14ac:dyDescent="0.25">
      <c r="A823" s="13" t="s">
        <v>2210</v>
      </c>
      <c r="B823" s="13">
        <v>5</v>
      </c>
      <c r="C823" s="14" t="s">
        <v>60</v>
      </c>
      <c r="D823" s="13" t="s">
        <v>302</v>
      </c>
      <c r="E823" s="14" t="s">
        <v>303</v>
      </c>
      <c r="F823" s="14" t="s">
        <v>1943</v>
      </c>
      <c r="G823" s="13" t="s">
        <v>149</v>
      </c>
      <c r="H823" s="18" t="str">
        <f>IFERROR(INDEX('المحافظات Governorates'!$E$2:$E$151,MATCH(D823,'المحافظات Governorates'!$A$2:$A$151,0)),"")</f>
        <v>Hafr Al-Batin</v>
      </c>
      <c r="I823" s="18" t="str">
        <f>IFERROR(INDEX('المناطق Regions'!$C$2:$C$15,MATCH(B823,'المناطق Regions'!$A$2:$A$15,0)),"")</f>
        <v>Eastern Province</v>
      </c>
      <c r="J823" s="18" t="str">
        <f>F823&amp;", "&amp;E823&amp;", Saudi Arabia"</f>
        <v>ساموده, حفر الباطن, Saudi Arabia</v>
      </c>
      <c r="K823" s="18">
        <v>27.860987</v>
      </c>
      <c r="L823" s="18">
        <v>44.898723</v>
      </c>
      <c r="M823" s="18">
        <v>2000</v>
      </c>
      <c r="N823" s="18" t="s">
        <v>562</v>
      </c>
    </row>
    <row r="824" ht="15" customHeight="1" spans="1:14" x14ac:dyDescent="0.25">
      <c r="A824" s="11" t="s">
        <v>2211</v>
      </c>
      <c r="B824" s="11">
        <v>5</v>
      </c>
      <c r="C824" s="12" t="s">
        <v>60</v>
      </c>
      <c r="D824" s="11" t="s">
        <v>302</v>
      </c>
      <c r="E824" s="12" t="s">
        <v>303</v>
      </c>
      <c r="F824" s="12" t="s">
        <v>2212</v>
      </c>
      <c r="G824" s="11" t="s">
        <v>149</v>
      </c>
      <c r="H824" s="18" t="str">
        <f>IFERROR(INDEX('المحافظات Governorates'!$E$2:$E$151,MATCH(D824,'المحافظات Governorates'!$A$2:$A$151,0)),"")</f>
        <v>Hafr Al-Batin</v>
      </c>
      <c r="I824" s="18" t="str">
        <f>IFERROR(INDEX('المناطق Regions'!$C$2:$C$15,MATCH(B824,'المناطق Regions'!$A$2:$A$15,0)),"")</f>
        <v>Eastern Province</v>
      </c>
      <c r="J824" s="18" t="str">
        <f>F824&amp;", "&amp;E824&amp;", Saudi Arabia"</f>
        <v>الصفيرى, حفر الباطن, Saudi Arabia</v>
      </c>
      <c r="K824" s="18">
        <v>28.532749</v>
      </c>
      <c r="L824" s="18">
        <v>45.802065</v>
      </c>
      <c r="M824" s="18">
        <v>2000</v>
      </c>
      <c r="N824" s="18" t="s">
        <v>642</v>
      </c>
    </row>
    <row r="825" ht="15" customHeight="1" spans="1:14" x14ac:dyDescent="0.25">
      <c r="A825" s="13" t="s">
        <v>2213</v>
      </c>
      <c r="B825" s="13">
        <v>5</v>
      </c>
      <c r="C825" s="14" t="s">
        <v>60</v>
      </c>
      <c r="D825" s="13" t="s">
        <v>302</v>
      </c>
      <c r="E825" s="14" t="s">
        <v>303</v>
      </c>
      <c r="F825" s="14" t="s">
        <v>1089</v>
      </c>
      <c r="G825" s="13" t="s">
        <v>113</v>
      </c>
      <c r="H825" s="18" t="str">
        <f>IFERROR(INDEX('المحافظات Governorates'!$E$2:$E$151,MATCH(D825,'المحافظات Governorates'!$A$2:$A$151,0)),"")</f>
        <v>Hafr Al-Batin</v>
      </c>
      <c r="I825" s="18" t="str">
        <f>IFERROR(INDEX('المناطق Regions'!$C$2:$C$15,MATCH(B825,'المناطق Regions'!$A$2:$A$15,0)),"")</f>
        <v>Eastern Province</v>
      </c>
      <c r="J825" s="18" t="str">
        <f>F825&amp;", "&amp;E825&amp;", Saudi Arabia"</f>
        <v>النايفية, حفر الباطن, Saudi Arabia</v>
      </c>
      <c r="K825" s="18">
        <v>27.929346</v>
      </c>
      <c r="L825" s="18">
        <v>45.377623</v>
      </c>
      <c r="M825" s="18">
        <v>2000</v>
      </c>
      <c r="N825" s="18" t="s">
        <v>642</v>
      </c>
    </row>
    <row r="826" ht="15" customHeight="1" spans="1:14" x14ac:dyDescent="0.25">
      <c r="A826" s="11" t="s">
        <v>2214</v>
      </c>
      <c r="B826" s="11">
        <v>5</v>
      </c>
      <c r="C826" s="12" t="s">
        <v>60</v>
      </c>
      <c r="D826" s="11" t="s">
        <v>302</v>
      </c>
      <c r="E826" s="12" t="s">
        <v>303</v>
      </c>
      <c r="F826" s="12" t="s">
        <v>2215</v>
      </c>
      <c r="G826" s="11" t="s">
        <v>149</v>
      </c>
      <c r="H826" s="18" t="str">
        <f>IFERROR(INDEX('المحافظات Governorates'!$E$2:$E$151,MATCH(D826,'المحافظات Governorates'!$A$2:$A$151,0)),"")</f>
        <v>Hafr Al-Batin</v>
      </c>
      <c r="I826" s="18" t="str">
        <f>IFERROR(INDEX('المناطق Regions'!$C$2:$C$15,MATCH(B826,'المناطق Regions'!$A$2:$A$15,0)),"")</f>
        <v>Eastern Province</v>
      </c>
      <c r="J826" s="18" t="str">
        <f>F826&amp;", "&amp;E826&amp;", Saudi Arabia"</f>
        <v>هجرة ام عشر, حفر الباطن, Saudi Arabia</v>
      </c>
      <c r="K826" s="18">
        <v>28.255509</v>
      </c>
      <c r="L826" s="18">
        <v>46.163827</v>
      </c>
      <c r="M826" s="18">
        <v>192385</v>
      </c>
      <c r="N826" s="18" t="s">
        <v>2196</v>
      </c>
    </row>
    <row r="827" ht="15" customHeight="1" spans="1:14" x14ac:dyDescent="0.25">
      <c r="A827" s="13" t="s">
        <v>2216</v>
      </c>
      <c r="B827" s="13">
        <v>5</v>
      </c>
      <c r="C827" s="14" t="s">
        <v>60</v>
      </c>
      <c r="D827" s="13" t="s">
        <v>302</v>
      </c>
      <c r="E827" s="14" t="s">
        <v>303</v>
      </c>
      <c r="F827" s="14" t="s">
        <v>2217</v>
      </c>
      <c r="G827" s="13" t="s">
        <v>149</v>
      </c>
      <c r="H827" s="18" t="str">
        <f>IFERROR(INDEX('المحافظات Governorates'!$E$2:$E$151,MATCH(D827,'المحافظات Governorates'!$A$2:$A$151,0)),"")</f>
        <v>Hafr Al-Batin</v>
      </c>
      <c r="I827" s="18" t="str">
        <f>IFERROR(INDEX('المناطق Regions'!$C$2:$C$15,MATCH(B827,'المناطق Regions'!$A$2:$A$15,0)),"")</f>
        <v>Eastern Province</v>
      </c>
      <c r="J827" s="18" t="str">
        <f>F827&amp;", "&amp;E827&amp;", Saudi Arabia"</f>
        <v>الفاو الشمالي, حفر الباطن, Saudi Arabia</v>
      </c>
      <c r="K827" s="18">
        <v>28.560312</v>
      </c>
      <c r="L827" s="18">
        <v>45.550825</v>
      </c>
      <c r="M827" s="18">
        <v>2000</v>
      </c>
      <c r="N827" s="18" t="s">
        <v>642</v>
      </c>
    </row>
    <row r="828" ht="15" customHeight="1" spans="1:14" x14ac:dyDescent="0.25">
      <c r="A828" s="11" t="s">
        <v>2218</v>
      </c>
      <c r="B828" s="11">
        <v>5</v>
      </c>
      <c r="C828" s="12" t="s">
        <v>60</v>
      </c>
      <c r="D828" s="11" t="s">
        <v>302</v>
      </c>
      <c r="E828" s="12" t="s">
        <v>303</v>
      </c>
      <c r="F828" s="12" t="s">
        <v>639</v>
      </c>
      <c r="G828" s="11" t="s">
        <v>149</v>
      </c>
      <c r="H828" s="18" t="str">
        <f>IFERROR(INDEX('المحافظات Governorates'!$E$2:$E$151,MATCH(D828,'المحافظات Governorates'!$A$2:$A$151,0)),"")</f>
        <v>Hafr Al-Batin</v>
      </c>
      <c r="I828" s="18" t="str">
        <f>IFERROR(INDEX('المناطق Regions'!$C$2:$C$15,MATCH(B828,'المناطق Regions'!$A$2:$A$15,0)),"")</f>
        <v>Eastern Province</v>
      </c>
      <c r="J828" s="18" t="str">
        <f>F828&amp;", "&amp;E828&amp;", Saudi Arabia"</f>
        <v>السلمانية, حفر الباطن, Saudi Arabia</v>
      </c>
      <c r="K828" s="18">
        <v>28.255509</v>
      </c>
      <c r="L828" s="18">
        <v>46.163827</v>
      </c>
      <c r="M828" s="18">
        <v>192385</v>
      </c>
      <c r="N828" s="18" t="s">
        <v>2196</v>
      </c>
    </row>
    <row r="829" ht="15" customHeight="1" spans="1:14" x14ac:dyDescent="0.25">
      <c r="A829" s="13" t="s">
        <v>2219</v>
      </c>
      <c r="B829" s="13">
        <v>5</v>
      </c>
      <c r="C829" s="14" t="s">
        <v>60</v>
      </c>
      <c r="D829" s="13" t="s">
        <v>326</v>
      </c>
      <c r="E829" s="14" t="s">
        <v>327</v>
      </c>
      <c r="F829" s="14" t="s">
        <v>2220</v>
      </c>
      <c r="G829" s="13" t="s">
        <v>149</v>
      </c>
      <c r="H829" s="18" t="str">
        <f>IFERROR(INDEX('المحافظات Governorates'!$E$2:$E$151,MATCH(D829,'المحافظات Governorates'!$A$2:$A$151,0)),"")</f>
        <v>Qaryat Al-Ulya</v>
      </c>
      <c r="I829" s="18" t="str">
        <f>IFERROR(INDEX('المناطق Regions'!$C$2:$C$15,MATCH(B829,'المناطق Regions'!$A$2:$A$15,0)),"")</f>
        <v>Eastern Province</v>
      </c>
      <c r="J829" s="18" t="str">
        <f>F829&amp;", "&amp;E829&amp;", Saudi Arabia"</f>
        <v>ام كداد, قريه العليا, Saudi Arabia</v>
      </c>
      <c r="K829" s="18">
        <v>27.142339</v>
      </c>
      <c r="L829" s="18">
        <v>47.094691</v>
      </c>
      <c r="M829" s="18">
        <v>40000</v>
      </c>
      <c r="N829" s="18" t="s">
        <v>1130</v>
      </c>
    </row>
    <row r="830" ht="15" customHeight="1" spans="1:14" x14ac:dyDescent="0.25">
      <c r="A830" s="11" t="s">
        <v>2221</v>
      </c>
      <c r="B830" s="11">
        <v>5</v>
      </c>
      <c r="C830" s="12" t="s">
        <v>60</v>
      </c>
      <c r="D830" s="11" t="s">
        <v>326</v>
      </c>
      <c r="E830" s="12" t="s">
        <v>327</v>
      </c>
      <c r="F830" s="12" t="s">
        <v>2222</v>
      </c>
      <c r="G830" s="11" t="s">
        <v>113</v>
      </c>
      <c r="H830" s="18" t="str">
        <f>IFERROR(INDEX('المحافظات Governorates'!$E$2:$E$151,MATCH(D830,'المحافظات Governorates'!$A$2:$A$151,0)),"")</f>
        <v>Qaryat Al-Ulya</v>
      </c>
      <c r="I830" s="18" t="str">
        <f>IFERROR(INDEX('المناطق Regions'!$C$2:$C$15,MATCH(B830,'المناطق Regions'!$A$2:$A$15,0)),"")</f>
        <v>Eastern Province</v>
      </c>
      <c r="J830" s="18" t="str">
        <f>F830&amp;", "&amp;E830&amp;", Saudi Arabia"</f>
        <v>مناخ, قريه العليا, Saudi Arabia</v>
      </c>
      <c r="K830" s="18">
        <v>27.142339</v>
      </c>
      <c r="L830" s="18">
        <v>47.094691</v>
      </c>
      <c r="M830" s="18">
        <v>40000</v>
      </c>
      <c r="N830" s="18" t="s">
        <v>1130</v>
      </c>
    </row>
    <row r="831" ht="15" customHeight="1" spans="1:14" x14ac:dyDescent="0.25">
      <c r="A831" s="13" t="s">
        <v>2223</v>
      </c>
      <c r="B831" s="13">
        <v>5</v>
      </c>
      <c r="C831" s="14" t="s">
        <v>60</v>
      </c>
      <c r="D831" s="13" t="s">
        <v>326</v>
      </c>
      <c r="E831" s="14" t="s">
        <v>327</v>
      </c>
      <c r="F831" s="14" t="s">
        <v>2224</v>
      </c>
      <c r="G831" s="13" t="s">
        <v>113</v>
      </c>
      <c r="H831" s="18" t="str">
        <f>IFERROR(INDEX('المحافظات Governorates'!$E$2:$E$151,MATCH(D831,'المحافظات Governorates'!$A$2:$A$151,0)),"")</f>
        <v>Qaryat Al-Ulya</v>
      </c>
      <c r="I831" s="18" t="str">
        <f>IFERROR(INDEX('المناطق Regions'!$C$2:$C$15,MATCH(B831,'المناطق Regions'!$A$2:$A$15,0)),"")</f>
        <v>Eastern Province</v>
      </c>
      <c r="J831" s="18" t="str">
        <f>F831&amp;", "&amp;E831&amp;", Saudi Arabia"</f>
        <v>الحيرا, قريه العليا, Saudi Arabia</v>
      </c>
      <c r="K831" s="18">
        <v>27.142339</v>
      </c>
      <c r="L831" s="18">
        <v>47.094691</v>
      </c>
      <c r="M831" s="18">
        <v>40000</v>
      </c>
      <c r="N831" s="18" t="s">
        <v>1130</v>
      </c>
    </row>
    <row r="832" ht="15" customHeight="1" spans="1:14" x14ac:dyDescent="0.25">
      <c r="A832" s="11" t="s">
        <v>2225</v>
      </c>
      <c r="B832" s="11">
        <v>5</v>
      </c>
      <c r="C832" s="12" t="s">
        <v>60</v>
      </c>
      <c r="D832" s="11" t="s">
        <v>326</v>
      </c>
      <c r="E832" s="12" t="s">
        <v>327</v>
      </c>
      <c r="F832" s="12" t="s">
        <v>2226</v>
      </c>
      <c r="G832" s="11" t="s">
        <v>113</v>
      </c>
      <c r="H832" s="18" t="str">
        <f>IFERROR(INDEX('المحافظات Governorates'!$E$2:$E$151,MATCH(D832,'المحافظات Governorates'!$A$2:$A$151,0)),"")</f>
        <v>Qaryat Al-Ulya</v>
      </c>
      <c r="I832" s="18" t="str">
        <f>IFERROR(INDEX('المناطق Regions'!$C$2:$C$15,MATCH(B832,'المناطق Regions'!$A$2:$A$15,0)),"")</f>
        <v>Eastern Province</v>
      </c>
      <c r="J832" s="18" t="str">
        <f>F832&amp;", "&amp;E832&amp;", Saudi Arabia"</f>
        <v>معرج السوبان, قريه العليا, Saudi Arabia</v>
      </c>
      <c r="K832" s="18">
        <v>27.142339</v>
      </c>
      <c r="L832" s="18">
        <v>47.094691</v>
      </c>
      <c r="M832" s="18">
        <v>40000</v>
      </c>
      <c r="N832" s="18" t="s">
        <v>1130</v>
      </c>
    </row>
    <row r="833" ht="15" customHeight="1" spans="1:14" x14ac:dyDescent="0.25">
      <c r="A833" s="13" t="s">
        <v>2227</v>
      </c>
      <c r="B833" s="13">
        <v>5</v>
      </c>
      <c r="C833" s="14" t="s">
        <v>60</v>
      </c>
      <c r="D833" s="13" t="s">
        <v>326</v>
      </c>
      <c r="E833" s="14" t="s">
        <v>327</v>
      </c>
      <c r="F833" s="14" t="s">
        <v>2228</v>
      </c>
      <c r="G833" s="13" t="s">
        <v>149</v>
      </c>
      <c r="H833" s="18" t="str">
        <f>IFERROR(INDEX('المحافظات Governorates'!$E$2:$E$151,MATCH(D833,'المحافظات Governorates'!$A$2:$A$151,0)),"")</f>
        <v>Qaryat Al-Ulya</v>
      </c>
      <c r="I833" s="18" t="str">
        <f>IFERROR(INDEX('المناطق Regions'!$C$2:$C$15,MATCH(B833,'المناطق Regions'!$A$2:$A$15,0)),"")</f>
        <v>Eastern Province</v>
      </c>
      <c r="J833" s="18" t="str">
        <f>F833&amp;", "&amp;E833&amp;", Saudi Arabia"</f>
        <v>خبيراء, قريه العليا, Saudi Arabia</v>
      </c>
      <c r="K833" s="18">
        <v>27.142339</v>
      </c>
      <c r="L833" s="18">
        <v>47.094691</v>
      </c>
      <c r="M833" s="18">
        <v>40000</v>
      </c>
      <c r="N833" s="18" t="s">
        <v>1130</v>
      </c>
    </row>
    <row r="834" ht="15" customHeight="1" spans="1:14" x14ac:dyDescent="0.25">
      <c r="A834" s="11" t="s">
        <v>2229</v>
      </c>
      <c r="B834" s="11">
        <v>5</v>
      </c>
      <c r="C834" s="12" t="s">
        <v>60</v>
      </c>
      <c r="D834" s="11" t="s">
        <v>305</v>
      </c>
      <c r="E834" s="12" t="s">
        <v>306</v>
      </c>
      <c r="F834" s="12" t="s">
        <v>2230</v>
      </c>
      <c r="G834" s="11" t="s">
        <v>149</v>
      </c>
      <c r="H834" s="18" t="str">
        <f>IFERROR(INDEX('المحافظات Governorates'!$E$2:$E$151,MATCH(D834,'المحافظات Governorates'!$A$2:$A$151,0)),"")</f>
        <v>Jubail</v>
      </c>
      <c r="I834" s="18" t="str">
        <f>IFERROR(INDEX('المناطق Regions'!$C$2:$C$15,MATCH(B834,'المناطق Regions'!$A$2:$A$15,0)),"")</f>
        <v>Eastern Province</v>
      </c>
      <c r="J834" s="18" t="str">
        <f>F834&amp;", "&amp;E834&amp;", Saudi Arabia"</f>
        <v>جو سمين, الجبيل, Saudi Arabia</v>
      </c>
      <c r="K834" s="18">
        <v>26.870885</v>
      </c>
      <c r="L834" s="18">
        <v>49.312208</v>
      </c>
      <c r="M834" s="18">
        <v>2000</v>
      </c>
      <c r="N834" s="18" t="s">
        <v>642</v>
      </c>
    </row>
    <row r="835" ht="15" customHeight="1" spans="1:14" x14ac:dyDescent="0.25">
      <c r="A835" s="13" t="s">
        <v>2231</v>
      </c>
      <c r="B835" s="13">
        <v>5</v>
      </c>
      <c r="C835" s="14" t="s">
        <v>60</v>
      </c>
      <c r="D835" s="13" t="s">
        <v>305</v>
      </c>
      <c r="E835" s="14" t="s">
        <v>306</v>
      </c>
      <c r="F835" s="14" t="s">
        <v>2232</v>
      </c>
      <c r="G835" s="13" t="s">
        <v>149</v>
      </c>
      <c r="H835" s="18" t="str">
        <f>IFERROR(INDEX('المحافظات Governorates'!$E$2:$E$151,MATCH(D835,'المحافظات Governorates'!$A$2:$A$151,0)),"")</f>
        <v>Jubail</v>
      </c>
      <c r="I835" s="18" t="str">
        <f>IFERROR(INDEX('المناطق Regions'!$C$2:$C$15,MATCH(B835,'المناطق Regions'!$A$2:$A$15,0)),"")</f>
        <v>Eastern Province</v>
      </c>
      <c r="J835" s="18" t="str">
        <f>F835&amp;", "&amp;E835&amp;", Saudi Arabia"</f>
        <v>جزيرة جنه, الجبيل, Saudi Arabia</v>
      </c>
      <c r="K835" s="18">
        <v>26.940268</v>
      </c>
      <c r="L835" s="18">
        <v>49.330003</v>
      </c>
      <c r="M835" s="18">
        <v>40000</v>
      </c>
      <c r="N835" s="18" t="s">
        <v>1130</v>
      </c>
    </row>
    <row r="836" ht="15" customHeight="1" spans="1:14" x14ac:dyDescent="0.25">
      <c r="A836" s="11" t="s">
        <v>2233</v>
      </c>
      <c r="B836" s="11">
        <v>5</v>
      </c>
      <c r="C836" s="12" t="s">
        <v>60</v>
      </c>
      <c r="D836" s="11" t="s">
        <v>305</v>
      </c>
      <c r="E836" s="12" t="s">
        <v>306</v>
      </c>
      <c r="F836" s="12" t="s">
        <v>2234</v>
      </c>
      <c r="G836" s="11" t="s">
        <v>149</v>
      </c>
      <c r="H836" s="18" t="str">
        <f>IFERROR(INDEX('المحافظات Governorates'!$E$2:$E$151,MATCH(D836,'المحافظات Governorates'!$A$2:$A$151,0)),"")</f>
        <v>Jubail</v>
      </c>
      <c r="I836" s="18" t="str">
        <f>IFERROR(INDEX('المناطق Regions'!$C$2:$C$15,MATCH(B836,'المناطق Regions'!$A$2:$A$15,0)),"")</f>
        <v>Eastern Province</v>
      </c>
      <c r="J836" s="18" t="str">
        <f>F836&amp;", "&amp;E836&amp;", Saudi Arabia"</f>
        <v>أبو حدرية, الجبيل, Saudi Arabia</v>
      </c>
      <c r="K836" s="18">
        <v>27.31185</v>
      </c>
      <c r="L836" s="18">
        <v>48.988088</v>
      </c>
      <c r="M836" s="18">
        <v>2000</v>
      </c>
      <c r="N836" s="18" t="s">
        <v>642</v>
      </c>
    </row>
    <row r="837" ht="15" customHeight="1" spans="1:14" x14ac:dyDescent="0.25">
      <c r="A837" s="13" t="s">
        <v>2235</v>
      </c>
      <c r="B837" s="13">
        <v>5</v>
      </c>
      <c r="C837" s="14" t="s">
        <v>60</v>
      </c>
      <c r="D837" s="13" t="s">
        <v>308</v>
      </c>
      <c r="E837" s="14" t="s">
        <v>309</v>
      </c>
      <c r="F837" s="14" t="s">
        <v>2236</v>
      </c>
      <c r="G837" s="13" t="s">
        <v>113</v>
      </c>
      <c r="H837" s="18" t="str">
        <f>IFERROR(INDEX('المحافظات Governorates'!$E$2:$E$151,MATCH(D837,'المحافظات Governorates'!$A$2:$A$151,0)),"")</f>
        <v>Qatif</v>
      </c>
      <c r="I837" s="18" t="str">
        <f>IFERROR(INDEX('المناطق Regions'!$C$2:$C$15,MATCH(B837,'المناطق Regions'!$A$2:$A$15,0)),"")</f>
        <v>Eastern Province</v>
      </c>
      <c r="J837" s="18" t="str">
        <f>F837&amp;", "&amp;E837&amp;", Saudi Arabia"</f>
        <v>سيهات, القطيف, Saudi Arabia</v>
      </c>
      <c r="K837" s="18">
        <v>26.475</v>
      </c>
      <c r="L837" s="18">
        <v>50.041633</v>
      </c>
      <c r="M837" s="18">
        <v>2000</v>
      </c>
      <c r="N837" s="18" t="s">
        <v>562</v>
      </c>
    </row>
    <row r="838" ht="15" customHeight="1" spans="1:14" x14ac:dyDescent="0.25">
      <c r="A838" s="11" t="s">
        <v>2237</v>
      </c>
      <c r="B838" s="11">
        <v>5</v>
      </c>
      <c r="C838" s="12" t="s">
        <v>60</v>
      </c>
      <c r="D838" s="11" t="s">
        <v>308</v>
      </c>
      <c r="E838" s="12" t="s">
        <v>309</v>
      </c>
      <c r="F838" s="12" t="s">
        <v>2238</v>
      </c>
      <c r="G838" s="11" t="s">
        <v>113</v>
      </c>
      <c r="H838" s="18" t="str">
        <f>IFERROR(INDEX('المحافظات Governorates'!$E$2:$E$151,MATCH(D838,'المحافظات Governorates'!$A$2:$A$151,0)),"")</f>
        <v>Qatif</v>
      </c>
      <c r="I838" s="18" t="str">
        <f>IFERROR(INDEX('المناطق Regions'!$C$2:$C$15,MATCH(B838,'المناطق Regions'!$A$2:$A$15,0)),"")</f>
        <v>Eastern Province</v>
      </c>
      <c r="J838" s="18" t="str">
        <f>F838&amp;", "&amp;E838&amp;", Saudi Arabia"</f>
        <v>صفوى, القطيف, Saudi Arabia</v>
      </c>
      <c r="K838" s="18">
        <v>26.648464</v>
      </c>
      <c r="L838" s="18">
        <v>49.946659</v>
      </c>
      <c r="M838" s="18">
        <v>2000</v>
      </c>
      <c r="N838" s="18" t="s">
        <v>562</v>
      </c>
    </row>
    <row r="839" ht="15" customHeight="1" spans="1:14" x14ac:dyDescent="0.25">
      <c r="A839" s="13" t="s">
        <v>2239</v>
      </c>
      <c r="B839" s="13">
        <v>5</v>
      </c>
      <c r="C839" s="14" t="s">
        <v>60</v>
      </c>
      <c r="D839" s="13" t="s">
        <v>308</v>
      </c>
      <c r="E839" s="14" t="s">
        <v>309</v>
      </c>
      <c r="F839" s="14" t="s">
        <v>2240</v>
      </c>
      <c r="G839" s="13" t="s">
        <v>113</v>
      </c>
      <c r="H839" s="18" t="str">
        <f>IFERROR(INDEX('المحافظات Governorates'!$E$2:$E$151,MATCH(D839,'المحافظات Governorates'!$A$2:$A$151,0)),"")</f>
        <v>Qatif</v>
      </c>
      <c r="I839" s="18" t="str">
        <f>IFERROR(INDEX('المناطق Regions'!$C$2:$C$15,MATCH(B839,'المناطق Regions'!$A$2:$A$15,0)),"")</f>
        <v>Eastern Province</v>
      </c>
      <c r="J839" s="18" t="str">
        <f>F839&amp;", "&amp;E839&amp;", Saudi Arabia"</f>
        <v>النابيه, القطيف, Saudi Arabia</v>
      </c>
      <c r="K839" s="18">
        <v>26.475951</v>
      </c>
      <c r="L839" s="18">
        <v>50.006676</v>
      </c>
      <c r="M839" s="18">
        <v>2000</v>
      </c>
      <c r="N839" s="18" t="s">
        <v>562</v>
      </c>
    </row>
    <row r="840" ht="15" customHeight="1" spans="1:14" x14ac:dyDescent="0.25">
      <c r="A840" s="11" t="s">
        <v>2241</v>
      </c>
      <c r="B840" s="11">
        <v>5</v>
      </c>
      <c r="C840" s="12" t="s">
        <v>60</v>
      </c>
      <c r="D840" s="11" t="s">
        <v>308</v>
      </c>
      <c r="E840" s="12" t="s">
        <v>309</v>
      </c>
      <c r="F840" s="12" t="s">
        <v>2242</v>
      </c>
      <c r="G840" s="11" t="s">
        <v>149</v>
      </c>
      <c r="H840" s="18" t="str">
        <f>IFERROR(INDEX('المحافظات Governorates'!$E$2:$E$151,MATCH(D840,'المحافظات Governorates'!$A$2:$A$151,0)),"")</f>
        <v>Qatif</v>
      </c>
      <c r="I840" s="18" t="str">
        <f>IFERROR(INDEX('المناطق Regions'!$C$2:$C$15,MATCH(B840,'المناطق Regions'!$A$2:$A$15,0)),"")</f>
        <v>Eastern Province</v>
      </c>
      <c r="J840" s="18" t="str">
        <f>F840&amp;", "&amp;E840&amp;", Saudi Arabia"</f>
        <v>أم السهاك, القطيف, Saudi Arabia</v>
      </c>
      <c r="K840" s="18">
        <v>26.629122</v>
      </c>
      <c r="L840" s="18">
        <v>49.918998</v>
      </c>
      <c r="M840" s="18">
        <v>24649</v>
      </c>
      <c r="N840" s="18" t="s">
        <v>2243</v>
      </c>
    </row>
    <row r="841" ht="15" customHeight="1" spans="1:14" x14ac:dyDescent="0.25">
      <c r="A841" s="13" t="s">
        <v>2244</v>
      </c>
      <c r="B841" s="13">
        <v>5</v>
      </c>
      <c r="C841" s="14" t="s">
        <v>60</v>
      </c>
      <c r="D841" s="13" t="s">
        <v>311</v>
      </c>
      <c r="E841" s="14" t="s">
        <v>312</v>
      </c>
      <c r="F841" s="14" t="s">
        <v>2245</v>
      </c>
      <c r="G841" s="13" t="s">
        <v>113</v>
      </c>
      <c r="H841" s="18" t="str">
        <f>IFERROR(INDEX('المحافظات Governorates'!$E$2:$E$151,MATCH(D841,'المحافظات Governorates'!$A$2:$A$151,0)),"")</f>
        <v>Khobar</v>
      </c>
      <c r="I841" s="18" t="str">
        <f>IFERROR(INDEX('المناطق Regions'!$C$2:$C$15,MATCH(B841,'المناطق Regions'!$A$2:$A$15,0)),"")</f>
        <v>Eastern Province</v>
      </c>
      <c r="J841" s="18" t="str">
        <f>F841&amp;", "&amp;E841&amp;", Saudi Arabia"</f>
        <v>جسر الملك فهد, الخبر, Saudi Arabia</v>
      </c>
      <c r="K841" s="18">
        <v>26.220396</v>
      </c>
      <c r="L841" s="18">
        <v>50.234988</v>
      </c>
      <c r="M841" s="18">
        <v>2000</v>
      </c>
      <c r="N841" s="18" t="s">
        <v>642</v>
      </c>
    </row>
    <row r="842" ht="15" customHeight="1" spans="1:14" x14ac:dyDescent="0.25">
      <c r="A842" s="11" t="s">
        <v>2246</v>
      </c>
      <c r="B842" s="11">
        <v>5</v>
      </c>
      <c r="C842" s="12" t="s">
        <v>60</v>
      </c>
      <c r="D842" s="11" t="s">
        <v>314</v>
      </c>
      <c r="E842" s="12" t="s">
        <v>315</v>
      </c>
      <c r="F842" s="12" t="s">
        <v>2247</v>
      </c>
      <c r="G842" s="11" t="s">
        <v>113</v>
      </c>
      <c r="H842" s="18" t="str">
        <f>IFERROR(INDEX('المحافظات Governorates'!$E$2:$E$151,MATCH(D842,'المحافظات Governorates'!$A$2:$A$151,0)),"")</f>
        <v>Khafji</v>
      </c>
      <c r="I842" s="18" t="str">
        <f>IFERROR(INDEX('المناطق Regions'!$C$2:$C$15,MATCH(B842,'المناطق Regions'!$A$2:$A$15,0)),"")</f>
        <v>Eastern Province</v>
      </c>
      <c r="J842" s="18" t="str">
        <f>F842&amp;", "&amp;E842&amp;", Saudi Arabia"</f>
        <v>السفانيه, الخفجي, Saudi Arabia</v>
      </c>
      <c r="K842" s="18">
        <v>27.938744</v>
      </c>
      <c r="L842" s="18">
        <v>48.663031</v>
      </c>
      <c r="M842" s="18">
        <v>2000</v>
      </c>
      <c r="N842" s="18" t="s">
        <v>562</v>
      </c>
    </row>
    <row r="843" ht="15" customHeight="1" spans="1:14" x14ac:dyDescent="0.25">
      <c r="A843" s="13" t="s">
        <v>2248</v>
      </c>
      <c r="B843" s="13">
        <v>5</v>
      </c>
      <c r="C843" s="14" t="s">
        <v>60</v>
      </c>
      <c r="D843" s="13" t="s">
        <v>314</v>
      </c>
      <c r="E843" s="14" t="s">
        <v>315</v>
      </c>
      <c r="F843" s="14" t="s">
        <v>2249</v>
      </c>
      <c r="G843" s="13" t="s">
        <v>149</v>
      </c>
      <c r="H843" s="18" t="str">
        <f>IFERROR(INDEX('المحافظات Governorates'!$E$2:$E$151,MATCH(D843,'المحافظات Governorates'!$A$2:$A$151,0)),"")</f>
        <v>Khafji</v>
      </c>
      <c r="I843" s="18" t="str">
        <f>IFERROR(INDEX('المناطق Regions'!$C$2:$C$15,MATCH(B843,'المناطق Regions'!$A$2:$A$15,0)),"")</f>
        <v>Eastern Province</v>
      </c>
      <c r="J843" s="18" t="str">
        <f>F843&amp;", "&amp;E843&amp;", Saudi Arabia"</f>
        <v>ابرق الكبريت, الخفجي, Saudi Arabia</v>
      </c>
      <c r="K843" s="18">
        <v>28.117501</v>
      </c>
      <c r="L843" s="18">
        <v>47.926911</v>
      </c>
      <c r="M843" s="18">
        <v>2000</v>
      </c>
      <c r="N843" s="18" t="s">
        <v>562</v>
      </c>
    </row>
    <row r="844" ht="15" customHeight="1" spans="1:14" x14ac:dyDescent="0.25">
      <c r="A844" s="11" t="s">
        <v>2250</v>
      </c>
      <c r="B844" s="11">
        <v>5</v>
      </c>
      <c r="C844" s="12" t="s">
        <v>60</v>
      </c>
      <c r="D844" s="11" t="s">
        <v>320</v>
      </c>
      <c r="E844" s="12" t="s">
        <v>321</v>
      </c>
      <c r="F844" s="12" t="s">
        <v>2251</v>
      </c>
      <c r="G844" s="11" t="s">
        <v>113</v>
      </c>
      <c r="H844" s="18" t="str">
        <f>IFERROR(INDEX('المحافظات Governorates'!$E$2:$E$151,MATCH(D844,'المحافظات Governorates'!$A$2:$A$151,0)),"")</f>
        <v>Buqayq (Abqaiq)</v>
      </c>
      <c r="I844" s="18" t="str">
        <f>IFERROR(INDEX('المناطق Regions'!$C$2:$C$15,MATCH(B844,'المناطق Regions'!$A$2:$A$15,0)),"")</f>
        <v>Eastern Province</v>
      </c>
      <c r="J844" s="18" t="str">
        <f>F844&amp;", "&amp;E844&amp;", Saudi Arabia"</f>
        <v>يكرب, بقيق, Saudi Arabia</v>
      </c>
      <c r="K844" s="18">
        <v>25.975349</v>
      </c>
      <c r="L844" s="18">
        <v>49.485869</v>
      </c>
      <c r="M844" s="18">
        <v>2000</v>
      </c>
      <c r="N844" s="18" t="s">
        <v>642</v>
      </c>
    </row>
    <row r="845" ht="15" customHeight="1" spans="1:14" x14ac:dyDescent="0.25">
      <c r="A845" s="13" t="s">
        <v>2252</v>
      </c>
      <c r="B845" s="13">
        <v>5</v>
      </c>
      <c r="C845" s="14" t="s">
        <v>60</v>
      </c>
      <c r="D845" s="13" t="s">
        <v>320</v>
      </c>
      <c r="E845" s="14" t="s">
        <v>321</v>
      </c>
      <c r="F845" s="14" t="s">
        <v>2253</v>
      </c>
      <c r="G845" s="13" t="s">
        <v>113</v>
      </c>
      <c r="H845" s="18" t="str">
        <f>IFERROR(INDEX('المحافظات Governorates'!$E$2:$E$151,MATCH(D845,'المحافظات Governorates'!$A$2:$A$151,0)),"")</f>
        <v>Buqayq (Abqaiq)</v>
      </c>
      <c r="I845" s="18" t="str">
        <f>IFERROR(INDEX('المناطق Regions'!$C$2:$C$15,MATCH(B845,'المناطق Regions'!$A$2:$A$15,0)),"")</f>
        <v>Eastern Province</v>
      </c>
      <c r="J845" s="18" t="str">
        <f>F845&amp;", "&amp;E845&amp;", Saudi Arabia"</f>
        <v>عين دار الجديده, بقيق, Saudi Arabia</v>
      </c>
      <c r="K845" s="18">
        <v>26.066829</v>
      </c>
      <c r="L845" s="18">
        <v>49.545822</v>
      </c>
      <c r="M845" s="18">
        <v>40000</v>
      </c>
      <c r="N845" s="18" t="s">
        <v>1130</v>
      </c>
    </row>
    <row r="846" ht="15" customHeight="1" spans="1:14" x14ac:dyDescent="0.25">
      <c r="A846" s="11" t="s">
        <v>2254</v>
      </c>
      <c r="B846" s="11">
        <v>5</v>
      </c>
      <c r="C846" s="12" t="s">
        <v>60</v>
      </c>
      <c r="D846" s="11" t="s">
        <v>320</v>
      </c>
      <c r="E846" s="12" t="s">
        <v>321</v>
      </c>
      <c r="F846" s="12" t="s">
        <v>2255</v>
      </c>
      <c r="G846" s="11" t="s">
        <v>113</v>
      </c>
      <c r="H846" s="18" t="str">
        <f>IFERROR(INDEX('المحافظات Governorates'!$E$2:$E$151,MATCH(D846,'المحافظات Governorates'!$A$2:$A$151,0)),"")</f>
        <v>Buqayq (Abqaiq)</v>
      </c>
      <c r="I846" s="18" t="str">
        <f>IFERROR(INDEX('المناطق Regions'!$C$2:$C$15,MATCH(B846,'المناطق Regions'!$A$2:$A$15,0)),"")</f>
        <v>Eastern Province</v>
      </c>
      <c r="J846" s="18" t="str">
        <f>F846&amp;", "&amp;E846&amp;", Saudi Arabia"</f>
        <v>الراجحه, بقيق, Saudi Arabia</v>
      </c>
      <c r="K846" s="18">
        <v>26.066829</v>
      </c>
      <c r="L846" s="18">
        <v>49.545822</v>
      </c>
      <c r="M846" s="18">
        <v>40000</v>
      </c>
      <c r="N846" s="18" t="s">
        <v>1130</v>
      </c>
    </row>
    <row r="847" ht="15" customHeight="1" spans="1:14" x14ac:dyDescent="0.25">
      <c r="A847" s="13" t="s">
        <v>2256</v>
      </c>
      <c r="B847" s="13">
        <v>5</v>
      </c>
      <c r="C847" s="14" t="s">
        <v>60</v>
      </c>
      <c r="D847" s="13" t="s">
        <v>320</v>
      </c>
      <c r="E847" s="14" t="s">
        <v>321</v>
      </c>
      <c r="F847" s="14" t="s">
        <v>2257</v>
      </c>
      <c r="G847" s="13" t="s">
        <v>113</v>
      </c>
      <c r="H847" s="18" t="str">
        <f>IFERROR(INDEX('المحافظات Governorates'!$E$2:$E$151,MATCH(D847,'المحافظات Governorates'!$A$2:$A$151,0)),"")</f>
        <v>Buqayq (Abqaiq)</v>
      </c>
      <c r="I847" s="18" t="str">
        <f>IFERROR(INDEX('المناطق Regions'!$C$2:$C$15,MATCH(B847,'المناطق Regions'!$A$2:$A$15,0)),"")</f>
        <v>Eastern Province</v>
      </c>
      <c r="J847" s="18" t="str">
        <f>F847&amp;", "&amp;E847&amp;", Saudi Arabia"</f>
        <v>فوده, بقيق, Saudi Arabia</v>
      </c>
      <c r="K847" s="18">
        <v>26.066829</v>
      </c>
      <c r="L847" s="18">
        <v>49.545822</v>
      </c>
      <c r="M847" s="18">
        <v>40000</v>
      </c>
      <c r="N847" s="18" t="s">
        <v>1130</v>
      </c>
    </row>
    <row r="848" ht="15" customHeight="1" spans="1:14" x14ac:dyDescent="0.25">
      <c r="A848" s="11" t="s">
        <v>2258</v>
      </c>
      <c r="B848" s="11">
        <v>5</v>
      </c>
      <c r="C848" s="12" t="s">
        <v>60</v>
      </c>
      <c r="D848" s="11" t="s">
        <v>320</v>
      </c>
      <c r="E848" s="12" t="s">
        <v>321</v>
      </c>
      <c r="F848" s="12" t="s">
        <v>2259</v>
      </c>
      <c r="G848" s="11" t="s">
        <v>113</v>
      </c>
      <c r="H848" s="18" t="str">
        <f>IFERROR(INDEX('المحافظات Governorates'!$E$2:$E$151,MATCH(D848,'المحافظات Governorates'!$A$2:$A$151,0)),"")</f>
        <v>Buqayq (Abqaiq)</v>
      </c>
      <c r="I848" s="18" t="str">
        <f>IFERROR(INDEX('المناطق Regions'!$C$2:$C$15,MATCH(B848,'المناطق Regions'!$A$2:$A$15,0)),"")</f>
        <v>Eastern Province</v>
      </c>
      <c r="J848" s="18" t="str">
        <f>F848&amp;", "&amp;E848&amp;", Saudi Arabia"</f>
        <v>بلده عين دار البلده, بقيق, Saudi Arabia</v>
      </c>
      <c r="K848" s="18">
        <v>26.066829</v>
      </c>
      <c r="L848" s="18">
        <v>49.545822</v>
      </c>
      <c r="M848" s="18">
        <v>40000</v>
      </c>
      <c r="N848" s="18" t="s">
        <v>1130</v>
      </c>
    </row>
    <row r="849" ht="15" customHeight="1" spans="1:14" x14ac:dyDescent="0.25">
      <c r="A849" s="13" t="s">
        <v>2260</v>
      </c>
      <c r="B849" s="13">
        <v>5</v>
      </c>
      <c r="C849" s="14" t="s">
        <v>60</v>
      </c>
      <c r="D849" s="13" t="s">
        <v>320</v>
      </c>
      <c r="E849" s="14" t="s">
        <v>321</v>
      </c>
      <c r="F849" s="14" t="s">
        <v>2261</v>
      </c>
      <c r="G849" s="13" t="s">
        <v>149</v>
      </c>
      <c r="H849" s="18" t="str">
        <f>IFERROR(INDEX('المحافظات Governorates'!$E$2:$E$151,MATCH(D849,'المحافظات Governorates'!$A$2:$A$151,0)),"")</f>
        <v>Buqayq (Abqaiq)</v>
      </c>
      <c r="I849" s="18" t="str">
        <f>IFERROR(INDEX('المناطق Regions'!$C$2:$C$15,MATCH(B849,'المناطق Regions'!$A$2:$A$15,0)),"")</f>
        <v>Eastern Province</v>
      </c>
      <c r="J849" s="18" t="str">
        <f>F849&amp;", "&amp;E849&amp;", Saudi Arabia"</f>
        <v>الدغيميه, بقيق, Saudi Arabia</v>
      </c>
      <c r="K849" s="18">
        <v>26.066829</v>
      </c>
      <c r="L849" s="18">
        <v>49.545822</v>
      </c>
      <c r="M849" s="18">
        <v>40000</v>
      </c>
      <c r="N849" s="18" t="s">
        <v>1130</v>
      </c>
    </row>
    <row r="850" ht="15" customHeight="1" spans="1:14" x14ac:dyDescent="0.25">
      <c r="A850" s="11" t="s">
        <v>2262</v>
      </c>
      <c r="B850" s="11">
        <v>5</v>
      </c>
      <c r="C850" s="12" t="s">
        <v>60</v>
      </c>
      <c r="D850" s="11" t="s">
        <v>320</v>
      </c>
      <c r="E850" s="12" t="s">
        <v>321</v>
      </c>
      <c r="F850" s="12" t="s">
        <v>2263</v>
      </c>
      <c r="G850" s="11" t="s">
        <v>113</v>
      </c>
      <c r="H850" s="18" t="str">
        <f>IFERROR(INDEX('المحافظات Governorates'!$E$2:$E$151,MATCH(D850,'المحافظات Governorates'!$A$2:$A$151,0)),"")</f>
        <v>Buqayq (Abqaiq)</v>
      </c>
      <c r="I850" s="18" t="str">
        <f>IFERROR(INDEX('المناطق Regions'!$C$2:$C$15,MATCH(B850,'المناطق Regions'!$A$2:$A$15,0)),"")</f>
        <v>Eastern Province</v>
      </c>
      <c r="J850" s="18" t="str">
        <f>F850&amp;", "&amp;E850&amp;", Saudi Arabia"</f>
        <v>صلاصل, بقيق, Saudi Arabia</v>
      </c>
      <c r="K850" s="18">
        <v>26.074167</v>
      </c>
      <c r="L850" s="18">
        <v>49.448889</v>
      </c>
      <c r="M850" s="18">
        <v>2000</v>
      </c>
      <c r="N850" s="18" t="s">
        <v>642</v>
      </c>
    </row>
    <row r="851" ht="15" customHeight="1" spans="1:14" x14ac:dyDescent="0.25">
      <c r="A851" s="13" t="s">
        <v>2264</v>
      </c>
      <c r="B851" s="13">
        <v>5</v>
      </c>
      <c r="C851" s="14" t="s">
        <v>60</v>
      </c>
      <c r="D851" s="13" t="s">
        <v>320</v>
      </c>
      <c r="E851" s="14" t="s">
        <v>321</v>
      </c>
      <c r="F851" s="14" t="s">
        <v>2265</v>
      </c>
      <c r="G851" s="13" t="s">
        <v>113</v>
      </c>
      <c r="H851" s="18" t="str">
        <f>IFERROR(INDEX('المحافظات Governorates'!$E$2:$E$151,MATCH(D851,'المحافظات Governorates'!$A$2:$A$151,0)),"")</f>
        <v>Buqayq (Abqaiq)</v>
      </c>
      <c r="I851" s="18" t="str">
        <f>IFERROR(INDEX('المناطق Regions'!$C$2:$C$15,MATCH(B851,'المناطق Regions'!$A$2:$A$15,0)),"")</f>
        <v>Eastern Province</v>
      </c>
      <c r="J851" s="18" t="str">
        <f>F851&amp;", "&amp;E851&amp;", Saudi Arabia"</f>
        <v>الفردانيه, بقيق, Saudi Arabia</v>
      </c>
      <c r="K851" s="18">
        <v>26.066829</v>
      </c>
      <c r="L851" s="18">
        <v>49.545822</v>
      </c>
      <c r="M851" s="18">
        <v>40000</v>
      </c>
      <c r="N851" s="18" t="s">
        <v>1130</v>
      </c>
    </row>
    <row r="852" ht="15" customHeight="1" spans="1:14" x14ac:dyDescent="0.25">
      <c r="A852" s="11" t="s">
        <v>2266</v>
      </c>
      <c r="B852" s="11">
        <v>5</v>
      </c>
      <c r="C852" s="12" t="s">
        <v>60</v>
      </c>
      <c r="D852" s="11" t="s">
        <v>320</v>
      </c>
      <c r="E852" s="12" t="s">
        <v>321</v>
      </c>
      <c r="F852" s="12" t="s">
        <v>2267</v>
      </c>
      <c r="G852" s="11" t="s">
        <v>149</v>
      </c>
      <c r="H852" s="18" t="str">
        <f>IFERROR(INDEX('المحافظات Governorates'!$E$2:$E$151,MATCH(D852,'المحافظات Governorates'!$A$2:$A$151,0)),"")</f>
        <v>Buqayq (Abqaiq)</v>
      </c>
      <c r="I852" s="18" t="str">
        <f>IFERROR(INDEX('المناطق Regions'!$C$2:$C$15,MATCH(B852,'المناطق Regions'!$A$2:$A$15,0)),"")</f>
        <v>Eastern Province</v>
      </c>
      <c r="J852" s="18" t="str">
        <f>F852&amp;", "&amp;E852&amp;", Saudi Arabia"</f>
        <v>خور الذيابه, بقيق, Saudi Arabia</v>
      </c>
      <c r="K852" s="18">
        <v>26.03071</v>
      </c>
      <c r="L852" s="18">
        <v>49.458021</v>
      </c>
      <c r="M852" s="18">
        <v>2000</v>
      </c>
      <c r="N852" s="18" t="s">
        <v>642</v>
      </c>
    </row>
    <row r="853" ht="15" customHeight="1" spans="1:14" x14ac:dyDescent="0.25">
      <c r="A853" s="13" t="s">
        <v>2268</v>
      </c>
      <c r="B853" s="13">
        <v>5</v>
      </c>
      <c r="C853" s="14" t="s">
        <v>60</v>
      </c>
      <c r="D853" s="13" t="s">
        <v>320</v>
      </c>
      <c r="E853" s="14" t="s">
        <v>321</v>
      </c>
      <c r="F853" s="14" t="s">
        <v>2269</v>
      </c>
      <c r="G853" s="13" t="s">
        <v>149</v>
      </c>
      <c r="H853" s="18" t="str">
        <f>IFERROR(INDEX('المحافظات Governorates'!$E$2:$E$151,MATCH(D853,'المحافظات Governorates'!$A$2:$A$151,0)),"")</f>
        <v>Buqayq (Abqaiq)</v>
      </c>
      <c r="I853" s="18" t="str">
        <f>IFERROR(INDEX('المناطق Regions'!$C$2:$C$15,MATCH(B853,'المناطق Regions'!$A$2:$A$15,0)),"")</f>
        <v>Eastern Province</v>
      </c>
      <c r="J853" s="18" t="str">
        <f>F853&amp;", "&amp;E853&amp;", Saudi Arabia"</f>
        <v>الجيشية, بقيق, Saudi Arabia</v>
      </c>
      <c r="K853" s="18">
        <v>26.015792</v>
      </c>
      <c r="L853" s="18">
        <v>49.143316</v>
      </c>
      <c r="M853" s="18">
        <v>2000</v>
      </c>
      <c r="N853" s="18" t="s">
        <v>642</v>
      </c>
    </row>
    <row r="854" ht="15" customHeight="1" spans="1:14" x14ac:dyDescent="0.25">
      <c r="A854" s="11" t="s">
        <v>2270</v>
      </c>
      <c r="B854" s="11">
        <v>5</v>
      </c>
      <c r="C854" s="12" t="s">
        <v>60</v>
      </c>
      <c r="D854" s="11" t="s">
        <v>323</v>
      </c>
      <c r="E854" s="12" t="s">
        <v>324</v>
      </c>
      <c r="F854" s="12" t="s">
        <v>2271</v>
      </c>
      <c r="G854" s="11" t="s">
        <v>113</v>
      </c>
      <c r="H854" s="18" t="str">
        <f>IFERROR(INDEX('المحافظات Governorates'!$E$2:$E$151,MATCH(D854,'المحافظات Governorates'!$A$2:$A$151,0)),"")</f>
        <v>An-Nuayriyah</v>
      </c>
      <c r="I854" s="18" t="str">
        <f>IFERROR(INDEX('المناطق Regions'!$C$2:$C$15,MATCH(B854,'المناطق Regions'!$A$2:$A$15,0)),"")</f>
        <v>Eastern Province</v>
      </c>
      <c r="J854" s="18" t="str">
        <f>F854&amp;", "&amp;E854&amp;", Saudi Arabia"</f>
        <v>الصرار, النعيريه, Saudi Arabia</v>
      </c>
      <c r="K854" s="18">
        <v>26.983611</v>
      </c>
      <c r="L854" s="18">
        <v>48.387222</v>
      </c>
      <c r="M854" s="18">
        <v>2000</v>
      </c>
      <c r="N854" s="18" t="s">
        <v>562</v>
      </c>
    </row>
    <row r="855" ht="15" customHeight="1" spans="1:14" x14ac:dyDescent="0.25">
      <c r="A855" s="13" t="s">
        <v>2272</v>
      </c>
      <c r="B855" s="13">
        <v>5</v>
      </c>
      <c r="C855" s="14" t="s">
        <v>60</v>
      </c>
      <c r="D855" s="13" t="s">
        <v>323</v>
      </c>
      <c r="E855" s="14" t="s">
        <v>324</v>
      </c>
      <c r="F855" s="14" t="s">
        <v>2273</v>
      </c>
      <c r="G855" s="13" t="s">
        <v>113</v>
      </c>
      <c r="H855" s="18" t="str">
        <f>IFERROR(INDEX('المحافظات Governorates'!$E$2:$E$151,MATCH(D855,'المحافظات Governorates'!$A$2:$A$151,0)),"")</f>
        <v>An-Nuayriyah</v>
      </c>
      <c r="I855" s="18" t="str">
        <f>IFERROR(INDEX('المناطق Regions'!$C$2:$C$15,MATCH(B855,'المناطق Regions'!$A$2:$A$15,0)),"")</f>
        <v>Eastern Province</v>
      </c>
      <c r="J855" s="18" t="str">
        <f>F855&amp;", "&amp;E855&amp;", Saudi Arabia"</f>
        <v>مليجه, النعيريه, Saudi Arabia</v>
      </c>
      <c r="K855" s="18">
        <v>27.272778</v>
      </c>
      <c r="L855" s="18">
        <v>48.425</v>
      </c>
      <c r="M855" s="18">
        <v>2000</v>
      </c>
      <c r="N855" s="18" t="s">
        <v>562</v>
      </c>
    </row>
    <row r="856" ht="15" customHeight="1" spans="1:14" x14ac:dyDescent="0.25">
      <c r="A856" s="11" t="s">
        <v>2274</v>
      </c>
      <c r="B856" s="11">
        <v>5</v>
      </c>
      <c r="C856" s="12" t="s">
        <v>60</v>
      </c>
      <c r="D856" s="11" t="s">
        <v>323</v>
      </c>
      <c r="E856" s="12" t="s">
        <v>324</v>
      </c>
      <c r="F856" s="12" t="s">
        <v>2275</v>
      </c>
      <c r="G856" s="11" t="s">
        <v>113</v>
      </c>
      <c r="H856" s="18" t="str">
        <f>IFERROR(INDEX('المحافظات Governorates'!$E$2:$E$151,MATCH(D856,'المحافظات Governorates'!$A$2:$A$151,0)),"")</f>
        <v>An-Nuayriyah</v>
      </c>
      <c r="I856" s="18" t="str">
        <f>IFERROR(INDEX('المناطق Regions'!$C$2:$C$15,MATCH(B856,'المناطق Regions'!$A$2:$A$15,0)),"")</f>
        <v>Eastern Province</v>
      </c>
      <c r="J856" s="18" t="str">
        <f>F856&amp;", "&amp;E856&amp;", Saudi Arabia"</f>
        <v>حنيذ, النعيريه, Saudi Arabia</v>
      </c>
      <c r="K856" s="18">
        <v>26.61116</v>
      </c>
      <c r="L856" s="18">
        <v>48.626645</v>
      </c>
      <c r="M856" s="18">
        <v>2000</v>
      </c>
      <c r="N856" s="18" t="s">
        <v>562</v>
      </c>
    </row>
    <row r="857" ht="15" customHeight="1" spans="1:14" x14ac:dyDescent="0.25">
      <c r="A857" s="13" t="s">
        <v>2276</v>
      </c>
      <c r="B857" s="13">
        <v>5</v>
      </c>
      <c r="C857" s="14" t="s">
        <v>60</v>
      </c>
      <c r="D857" s="13" t="s">
        <v>323</v>
      </c>
      <c r="E857" s="14" t="s">
        <v>324</v>
      </c>
      <c r="F857" s="14" t="s">
        <v>2277</v>
      </c>
      <c r="G857" s="13" t="s">
        <v>113</v>
      </c>
      <c r="H857" s="18" t="str">
        <f>IFERROR(INDEX('المحافظات Governorates'!$E$2:$E$151,MATCH(D857,'المحافظات Governorates'!$A$2:$A$151,0)),"")</f>
        <v>An-Nuayriyah</v>
      </c>
      <c r="I857" s="18" t="str">
        <f>IFERROR(INDEX('المناطق Regions'!$C$2:$C$15,MATCH(B857,'المناطق Regions'!$A$2:$A$15,0)),"")</f>
        <v>Eastern Province</v>
      </c>
      <c r="J857" s="18" t="str">
        <f>F857&amp;", "&amp;E857&amp;", Saudi Arabia"</f>
        <v>القليب, النعيريه, Saudi Arabia</v>
      </c>
      <c r="K857" s="18">
        <v>26.763441</v>
      </c>
      <c r="L857" s="18">
        <v>48.280886</v>
      </c>
      <c r="M857" s="18">
        <v>2000</v>
      </c>
      <c r="N857" s="18" t="s">
        <v>562</v>
      </c>
    </row>
    <row r="858" ht="15" customHeight="1" spans="1:14" x14ac:dyDescent="0.25">
      <c r="A858" s="11" t="s">
        <v>2278</v>
      </c>
      <c r="B858" s="11">
        <v>5</v>
      </c>
      <c r="C858" s="12" t="s">
        <v>60</v>
      </c>
      <c r="D858" s="11" t="s">
        <v>323</v>
      </c>
      <c r="E858" s="12" t="s">
        <v>324</v>
      </c>
      <c r="F858" s="12" t="s">
        <v>2279</v>
      </c>
      <c r="G858" s="11" t="s">
        <v>113</v>
      </c>
      <c r="H858" s="18" t="str">
        <f>IFERROR(INDEX('المحافظات Governorates'!$E$2:$E$151,MATCH(D858,'المحافظات Governorates'!$A$2:$A$151,0)),"")</f>
        <v>An-Nuayriyah</v>
      </c>
      <c r="I858" s="18" t="str">
        <f>IFERROR(INDEX('المناطق Regions'!$C$2:$C$15,MATCH(B858,'المناطق Regions'!$A$2:$A$15,0)),"")</f>
        <v>Eastern Province</v>
      </c>
      <c r="J858" s="18" t="str">
        <f>F858&amp;", "&amp;E858&amp;", Saudi Arabia"</f>
        <v>عتيق, النعيريه, Saudi Arabia</v>
      </c>
      <c r="K858" s="18">
        <v>27.159808</v>
      </c>
      <c r="L858" s="18">
        <v>48.60827</v>
      </c>
      <c r="M858" s="18">
        <v>2000</v>
      </c>
      <c r="N858" s="18" t="s">
        <v>562</v>
      </c>
    </row>
    <row r="859" ht="15" customHeight="1" spans="1:14" x14ac:dyDescent="0.25">
      <c r="A859" s="13" t="s">
        <v>2280</v>
      </c>
      <c r="B859" s="13">
        <v>5</v>
      </c>
      <c r="C859" s="14" t="s">
        <v>60</v>
      </c>
      <c r="D859" s="13" t="s">
        <v>323</v>
      </c>
      <c r="E859" s="14" t="s">
        <v>324</v>
      </c>
      <c r="F859" s="14" t="s">
        <v>2281</v>
      </c>
      <c r="G859" s="13" t="s">
        <v>113</v>
      </c>
      <c r="H859" s="18" t="str">
        <f>IFERROR(INDEX('المحافظات Governorates'!$E$2:$E$151,MATCH(D859,'المحافظات Governorates'!$A$2:$A$151,0)),"")</f>
        <v>An-Nuayriyah</v>
      </c>
      <c r="I859" s="18" t="str">
        <f>IFERROR(INDEX('المناطق Regions'!$C$2:$C$15,MATCH(B859,'المناطق Regions'!$A$2:$A$15,0)),"")</f>
        <v>Eastern Province</v>
      </c>
      <c r="J859" s="18" t="str">
        <f>F859&amp;", "&amp;E859&amp;", Saudi Arabia"</f>
        <v>الكهفه, النعيريه, Saudi Arabia</v>
      </c>
      <c r="K859" s="18">
        <v>27.378561</v>
      </c>
      <c r="L859" s="18">
        <v>48.335227</v>
      </c>
      <c r="M859" s="18">
        <v>2000</v>
      </c>
      <c r="N859" s="18" t="s">
        <v>562</v>
      </c>
    </row>
    <row r="860" ht="15" customHeight="1" spans="1:14" x14ac:dyDescent="0.25">
      <c r="A860" s="11" t="s">
        <v>2282</v>
      </c>
      <c r="B860" s="11">
        <v>5</v>
      </c>
      <c r="C860" s="12" t="s">
        <v>60</v>
      </c>
      <c r="D860" s="11" t="s">
        <v>323</v>
      </c>
      <c r="E860" s="12" t="s">
        <v>324</v>
      </c>
      <c r="F860" s="12" t="s">
        <v>2283</v>
      </c>
      <c r="G860" s="11" t="s">
        <v>113</v>
      </c>
      <c r="H860" s="18" t="str">
        <f>IFERROR(INDEX('المحافظات Governorates'!$E$2:$E$151,MATCH(D860,'المحافظات Governorates'!$A$2:$A$151,0)),"")</f>
        <v>An-Nuayriyah</v>
      </c>
      <c r="I860" s="18" t="str">
        <f>IFERROR(INDEX('المناطق Regions'!$C$2:$C$15,MATCH(B860,'المناطق Regions'!$A$2:$A$15,0)),"")</f>
        <v>Eastern Province</v>
      </c>
      <c r="J860" s="18" t="str">
        <f>F860&amp;", "&amp;E860&amp;", Saudi Arabia"</f>
        <v>الحسى, النعيريه, Saudi Arabia</v>
      </c>
      <c r="K860" s="18">
        <v>27.105092</v>
      </c>
      <c r="L860" s="18">
        <v>48.529325</v>
      </c>
      <c r="M860" s="18">
        <v>2000</v>
      </c>
      <c r="N860" s="18" t="s">
        <v>562</v>
      </c>
    </row>
    <row r="861" ht="15" customHeight="1" spans="1:14" x14ac:dyDescent="0.25">
      <c r="A861" s="13" t="s">
        <v>2284</v>
      </c>
      <c r="B861" s="13">
        <v>5</v>
      </c>
      <c r="C861" s="14" t="s">
        <v>60</v>
      </c>
      <c r="D861" s="13" t="s">
        <v>323</v>
      </c>
      <c r="E861" s="14" t="s">
        <v>324</v>
      </c>
      <c r="F861" s="14" t="s">
        <v>2285</v>
      </c>
      <c r="G861" s="13" t="s">
        <v>113</v>
      </c>
      <c r="H861" s="18" t="str">
        <f>IFERROR(INDEX('المحافظات Governorates'!$E$2:$E$151,MATCH(D861,'المحافظات Governorates'!$A$2:$A$151,0)),"")</f>
        <v>An-Nuayriyah</v>
      </c>
      <c r="I861" s="18" t="str">
        <f>IFERROR(INDEX('المناطق Regions'!$C$2:$C$15,MATCH(B861,'المناطق Regions'!$A$2:$A$15,0)),"")</f>
        <v>Eastern Province</v>
      </c>
      <c r="J861" s="18" t="str">
        <f>F861&amp;", "&amp;E861&amp;", Saudi Arabia"</f>
        <v>الصحاف, النعيريه, Saudi Arabia</v>
      </c>
      <c r="K861" s="18">
        <v>26.939518</v>
      </c>
      <c r="L861" s="18">
        <v>48.582377</v>
      </c>
      <c r="M861" s="18">
        <v>2000</v>
      </c>
      <c r="N861" s="18" t="s">
        <v>562</v>
      </c>
    </row>
    <row r="862" ht="15" customHeight="1" spans="1:14" x14ac:dyDescent="0.25">
      <c r="A862" s="11" t="s">
        <v>2286</v>
      </c>
      <c r="B862" s="11">
        <v>5</v>
      </c>
      <c r="C862" s="12" t="s">
        <v>60</v>
      </c>
      <c r="D862" s="11" t="s">
        <v>323</v>
      </c>
      <c r="E862" s="12" t="s">
        <v>324</v>
      </c>
      <c r="F862" s="12" t="s">
        <v>2287</v>
      </c>
      <c r="G862" s="11" t="s">
        <v>113</v>
      </c>
      <c r="H862" s="18" t="str">
        <f>IFERROR(INDEX('المحافظات Governorates'!$E$2:$E$151,MATCH(D862,'المحافظات Governorates'!$A$2:$A$151,0)),"")</f>
        <v>An-Nuayriyah</v>
      </c>
      <c r="I862" s="18" t="str">
        <f>IFERROR(INDEX('المناطق Regions'!$C$2:$C$15,MATCH(B862,'المناطق Regions'!$A$2:$A$15,0)),"")</f>
        <v>Eastern Province</v>
      </c>
      <c r="J862" s="18" t="str">
        <f>F862&amp;", "&amp;E862&amp;", Saudi Arabia"</f>
        <v>ثاج, النعيريه, Saudi Arabia</v>
      </c>
      <c r="K862" s="18">
        <v>26.877458</v>
      </c>
      <c r="L862" s="18">
        <v>48.723369</v>
      </c>
      <c r="M862" s="18">
        <v>2000</v>
      </c>
      <c r="N862" s="18" t="s">
        <v>562</v>
      </c>
    </row>
    <row r="863" ht="15" customHeight="1" spans="1:14" x14ac:dyDescent="0.25">
      <c r="A863" s="13" t="s">
        <v>2288</v>
      </c>
      <c r="B863" s="13">
        <v>5</v>
      </c>
      <c r="C863" s="14" t="s">
        <v>60</v>
      </c>
      <c r="D863" s="13" t="s">
        <v>323</v>
      </c>
      <c r="E863" s="14" t="s">
        <v>324</v>
      </c>
      <c r="F863" s="14" t="s">
        <v>2289</v>
      </c>
      <c r="G863" s="13" t="s">
        <v>113</v>
      </c>
      <c r="H863" s="18" t="str">
        <f>IFERROR(INDEX('المحافظات Governorates'!$E$2:$E$151,MATCH(D863,'المحافظات Governorates'!$A$2:$A$151,0)),"")</f>
        <v>An-Nuayriyah</v>
      </c>
      <c r="I863" s="18" t="str">
        <f>IFERROR(INDEX('المناطق Regions'!$C$2:$C$15,MATCH(B863,'المناطق Regions'!$A$2:$A$15,0)),"")</f>
        <v>Eastern Province</v>
      </c>
      <c r="J863" s="18" t="str">
        <f>F863&amp;", "&amp;E863&amp;", Saudi Arabia"</f>
        <v>الونان, النعيريه, Saudi Arabia</v>
      </c>
      <c r="K863" s="18">
        <v>26.907621</v>
      </c>
      <c r="L863" s="18">
        <v>48.420819</v>
      </c>
      <c r="M863" s="18">
        <v>2000</v>
      </c>
      <c r="N863" s="18" t="s">
        <v>562</v>
      </c>
    </row>
    <row r="864" ht="15" customHeight="1" spans="1:14" x14ac:dyDescent="0.25">
      <c r="A864" s="11" t="s">
        <v>2290</v>
      </c>
      <c r="B864" s="11">
        <v>5</v>
      </c>
      <c r="C864" s="12" t="s">
        <v>60</v>
      </c>
      <c r="D864" s="11" t="s">
        <v>323</v>
      </c>
      <c r="E864" s="12" t="s">
        <v>324</v>
      </c>
      <c r="F864" s="12" t="s">
        <v>1793</v>
      </c>
      <c r="G864" s="11" t="s">
        <v>113</v>
      </c>
      <c r="H864" s="18" t="str">
        <f>IFERROR(INDEX('المحافظات Governorates'!$E$2:$E$151,MATCH(D864,'المحافظات Governorates'!$A$2:$A$151,0)),"")</f>
        <v>An-Nuayriyah</v>
      </c>
      <c r="I864" s="18" t="str">
        <f>IFERROR(INDEX('المناطق Regions'!$C$2:$C$15,MATCH(B864,'المناطق Regions'!$A$2:$A$15,0)),"")</f>
        <v>Eastern Province</v>
      </c>
      <c r="J864" s="18" t="str">
        <f>F864&amp;", "&amp;E864&amp;", Saudi Arabia"</f>
        <v>العيينه, النعيريه, Saudi Arabia</v>
      </c>
      <c r="K864" s="18">
        <v>26.808179</v>
      </c>
      <c r="L864" s="18">
        <v>48.336391</v>
      </c>
      <c r="M864" s="18">
        <v>2000</v>
      </c>
      <c r="N864" s="18" t="s">
        <v>562</v>
      </c>
    </row>
    <row r="865" ht="15" customHeight="1" spans="1:14" x14ac:dyDescent="0.25">
      <c r="A865" s="13" t="s">
        <v>2291</v>
      </c>
      <c r="B865" s="13">
        <v>5</v>
      </c>
      <c r="C865" s="14" t="s">
        <v>60</v>
      </c>
      <c r="D865" s="13" t="s">
        <v>323</v>
      </c>
      <c r="E865" s="14" t="s">
        <v>324</v>
      </c>
      <c r="F865" s="14" t="s">
        <v>2292</v>
      </c>
      <c r="G865" s="13" t="s">
        <v>113</v>
      </c>
      <c r="H865" s="18" t="str">
        <f>IFERROR(INDEX('المحافظات Governorates'!$E$2:$E$151,MATCH(D865,'المحافظات Governorates'!$A$2:$A$151,0)),"")</f>
        <v>An-Nuayriyah</v>
      </c>
      <c r="I865" s="18" t="str">
        <f>IFERROR(INDEX('المناطق Regions'!$C$2:$C$15,MATCH(B865,'المناطق Regions'!$A$2:$A$15,0)),"")</f>
        <v>Eastern Province</v>
      </c>
      <c r="J865" s="18" t="str">
        <f>F865&amp;", "&amp;E865&amp;", Saudi Arabia"</f>
        <v>الزغين, النعيريه, Saudi Arabia</v>
      </c>
      <c r="K865" s="18">
        <v>26.982981</v>
      </c>
      <c r="L865" s="18">
        <v>48.424312</v>
      </c>
      <c r="M865" s="18">
        <v>2000</v>
      </c>
      <c r="N865" s="18" t="s">
        <v>562</v>
      </c>
    </row>
    <row r="866" ht="15" customHeight="1" spans="1:14" x14ac:dyDescent="0.25">
      <c r="A866" s="11" t="s">
        <v>2293</v>
      </c>
      <c r="B866" s="11">
        <v>5</v>
      </c>
      <c r="C866" s="12" t="s">
        <v>60</v>
      </c>
      <c r="D866" s="11" t="s">
        <v>323</v>
      </c>
      <c r="E866" s="12" t="s">
        <v>324</v>
      </c>
      <c r="F866" s="12" t="s">
        <v>2294</v>
      </c>
      <c r="G866" s="11" t="s">
        <v>113</v>
      </c>
      <c r="H866" s="18" t="str">
        <f>IFERROR(INDEX('المحافظات Governorates'!$E$2:$E$151,MATCH(D866,'المحافظات Governorates'!$A$2:$A$151,0)),"")</f>
        <v>An-Nuayriyah</v>
      </c>
      <c r="I866" s="18" t="str">
        <f>IFERROR(INDEX('المناطق Regions'!$C$2:$C$15,MATCH(B866,'المناطق Regions'!$A$2:$A$15,0)),"")</f>
        <v>Eastern Province</v>
      </c>
      <c r="J866" s="18" t="str">
        <f>F866&amp;", "&amp;E866&amp;", Saudi Arabia"</f>
        <v>نطاع, النعيريه, Saudi Arabia</v>
      </c>
      <c r="K866" s="18">
        <v>27.216298</v>
      </c>
      <c r="L866" s="18">
        <v>48.424953</v>
      </c>
      <c r="M866" s="18">
        <v>2000</v>
      </c>
      <c r="N866" s="18" t="s">
        <v>562</v>
      </c>
    </row>
    <row r="867" ht="15" customHeight="1" spans="1:14" x14ac:dyDescent="0.25">
      <c r="A867" s="13" t="s">
        <v>2295</v>
      </c>
      <c r="B867" s="13">
        <v>5</v>
      </c>
      <c r="C867" s="14" t="s">
        <v>60</v>
      </c>
      <c r="D867" s="13" t="s">
        <v>323</v>
      </c>
      <c r="E867" s="14" t="s">
        <v>324</v>
      </c>
      <c r="F867" s="14" t="s">
        <v>2296</v>
      </c>
      <c r="G867" s="13" t="s">
        <v>113</v>
      </c>
      <c r="H867" s="18" t="str">
        <f>IFERROR(INDEX('المحافظات Governorates'!$E$2:$E$151,MATCH(D867,'المحافظات Governorates'!$A$2:$A$151,0)),"")</f>
        <v>An-Nuayriyah</v>
      </c>
      <c r="I867" s="18" t="str">
        <f>IFERROR(INDEX('المناطق Regions'!$C$2:$C$15,MATCH(B867,'المناطق Regions'!$A$2:$A$15,0)),"")</f>
        <v>Eastern Province</v>
      </c>
      <c r="J867" s="18" t="str">
        <f>F867&amp;", "&amp;E867&amp;", Saudi Arabia"</f>
        <v>السليمانية, النعيريه, Saudi Arabia</v>
      </c>
      <c r="K867" s="18">
        <v>26.950003</v>
      </c>
      <c r="L867" s="18">
        <v>48.50753</v>
      </c>
      <c r="M867" s="18">
        <v>128583</v>
      </c>
      <c r="N867" s="18" t="s">
        <v>2297</v>
      </c>
    </row>
    <row r="868" ht="15" customHeight="1" spans="1:14" x14ac:dyDescent="0.25">
      <c r="A868" s="11" t="s">
        <v>2298</v>
      </c>
      <c r="B868" s="11">
        <v>5</v>
      </c>
      <c r="C868" s="12" t="s">
        <v>60</v>
      </c>
      <c r="D868" s="11" t="s">
        <v>323</v>
      </c>
      <c r="E868" s="12" t="s">
        <v>324</v>
      </c>
      <c r="F868" s="12" t="s">
        <v>2299</v>
      </c>
      <c r="G868" s="11" t="s">
        <v>149</v>
      </c>
      <c r="H868" s="18" t="str">
        <f>IFERROR(INDEX('المحافظات Governorates'!$E$2:$E$151,MATCH(D868,'المحافظات Governorates'!$A$2:$A$151,0)),"")</f>
        <v>An-Nuayriyah</v>
      </c>
      <c r="I868" s="18" t="str">
        <f>IFERROR(INDEX('المناطق Regions'!$C$2:$C$15,MATCH(B868,'المناطق Regions'!$A$2:$A$15,0)),"")</f>
        <v>Eastern Province</v>
      </c>
      <c r="J868" s="18" t="str">
        <f>F868&amp;", "&amp;E868&amp;", Saudi Arabia"</f>
        <v>النقيرة, النعيريه, Saudi Arabia</v>
      </c>
      <c r="K868" s="18">
        <v>27.871388</v>
      </c>
      <c r="L868" s="18">
        <v>48.259609</v>
      </c>
      <c r="M868" s="18">
        <v>2000</v>
      </c>
      <c r="N868" s="18" t="s">
        <v>562</v>
      </c>
    </row>
    <row r="869" ht="15" customHeight="1" spans="1:14" x14ac:dyDescent="0.25">
      <c r="A869" s="13" t="s">
        <v>2300</v>
      </c>
      <c r="B869" s="13">
        <v>5</v>
      </c>
      <c r="C869" s="14" t="s">
        <v>60</v>
      </c>
      <c r="D869" s="13" t="s">
        <v>323</v>
      </c>
      <c r="E869" s="14" t="s">
        <v>324</v>
      </c>
      <c r="F869" s="14" t="s">
        <v>2301</v>
      </c>
      <c r="G869" s="13" t="s">
        <v>113</v>
      </c>
      <c r="H869" s="18" t="str">
        <f>IFERROR(INDEX('المحافظات Governorates'!$E$2:$E$151,MATCH(D869,'المحافظات Governorates'!$A$2:$A$151,0)),"")</f>
        <v>An-Nuayriyah</v>
      </c>
      <c r="I869" s="18" t="str">
        <f>IFERROR(INDEX('المناطق Regions'!$C$2:$C$15,MATCH(B869,'المناطق Regions'!$A$2:$A$15,0)),"")</f>
        <v>Eastern Province</v>
      </c>
      <c r="J869" s="18" t="str">
        <f>F869&amp;", "&amp;E869&amp;", Saudi Arabia"</f>
        <v>الهليسيه, النعيريه, Saudi Arabia</v>
      </c>
      <c r="K869" s="18">
        <v>26.950003</v>
      </c>
      <c r="L869" s="18">
        <v>48.50753</v>
      </c>
      <c r="M869" s="18">
        <v>128583</v>
      </c>
      <c r="N869" s="18" t="s">
        <v>2297</v>
      </c>
    </row>
    <row r="870" ht="15" customHeight="1" spans="1:14" x14ac:dyDescent="0.25">
      <c r="A870" s="11" t="s">
        <v>2302</v>
      </c>
      <c r="B870" s="11">
        <v>5</v>
      </c>
      <c r="C870" s="12" t="s">
        <v>60</v>
      </c>
      <c r="D870" s="11" t="s">
        <v>323</v>
      </c>
      <c r="E870" s="12" t="s">
        <v>324</v>
      </c>
      <c r="F870" s="12" t="s">
        <v>2303</v>
      </c>
      <c r="G870" s="11" t="s">
        <v>149</v>
      </c>
      <c r="H870" s="18" t="str">
        <f>IFERROR(INDEX('المحافظات Governorates'!$E$2:$E$151,MATCH(D870,'المحافظات Governorates'!$A$2:$A$151,0)),"")</f>
        <v>An-Nuayriyah</v>
      </c>
      <c r="I870" s="18" t="str">
        <f>IFERROR(INDEX('المناطق Regions'!$C$2:$C$15,MATCH(B870,'المناطق Regions'!$A$2:$A$15,0)),"")</f>
        <v>Eastern Province</v>
      </c>
      <c r="J870" s="18" t="str">
        <f>F870&amp;", "&amp;E870&amp;", Saudi Arabia"</f>
        <v>شفيه, النعيريه, Saudi Arabia</v>
      </c>
      <c r="K870" s="18">
        <v>26.401944</v>
      </c>
      <c r="L870" s="18">
        <v>48.751667</v>
      </c>
      <c r="M870" s="18">
        <v>2000</v>
      </c>
      <c r="N870" s="18" t="s">
        <v>562</v>
      </c>
    </row>
    <row r="871" ht="15" customHeight="1" spans="1:14" x14ac:dyDescent="0.25">
      <c r="A871" s="13" t="s">
        <v>2304</v>
      </c>
      <c r="B871" s="13">
        <v>5</v>
      </c>
      <c r="C871" s="14" t="s">
        <v>60</v>
      </c>
      <c r="D871" s="13" t="s">
        <v>323</v>
      </c>
      <c r="E871" s="14" t="s">
        <v>324</v>
      </c>
      <c r="F871" s="14" t="s">
        <v>2305</v>
      </c>
      <c r="G871" s="13" t="s">
        <v>149</v>
      </c>
      <c r="H871" s="18" t="str">
        <f>IFERROR(INDEX('المحافظات Governorates'!$E$2:$E$151,MATCH(D871,'المحافظات Governorates'!$A$2:$A$151,0)),"")</f>
        <v>An-Nuayriyah</v>
      </c>
      <c r="I871" s="18" t="str">
        <f>IFERROR(INDEX('المناطق Regions'!$C$2:$C$15,MATCH(B871,'المناطق Regions'!$A$2:$A$15,0)),"")</f>
        <v>Eastern Province</v>
      </c>
      <c r="J871" s="18" t="str">
        <f>F871&amp;", "&amp;E871&amp;", Saudi Arabia"</f>
        <v>مغطى, النعيريه, Saudi Arabia</v>
      </c>
      <c r="K871" s="18">
        <v>26.675492</v>
      </c>
      <c r="L871" s="18">
        <v>48.630581</v>
      </c>
      <c r="M871" s="18">
        <v>2000</v>
      </c>
      <c r="N871" s="18" t="s">
        <v>562</v>
      </c>
    </row>
    <row r="872" ht="15" customHeight="1" spans="1:14" x14ac:dyDescent="0.25">
      <c r="A872" s="11" t="s">
        <v>2306</v>
      </c>
      <c r="B872" s="11">
        <v>5</v>
      </c>
      <c r="C872" s="12" t="s">
        <v>60</v>
      </c>
      <c r="D872" s="11" t="s">
        <v>323</v>
      </c>
      <c r="E872" s="12" t="s">
        <v>324</v>
      </c>
      <c r="F872" s="12" t="s">
        <v>2307</v>
      </c>
      <c r="G872" s="11" t="s">
        <v>149</v>
      </c>
      <c r="H872" s="18" t="str">
        <f>IFERROR(INDEX('المحافظات Governorates'!$E$2:$E$151,MATCH(D872,'المحافظات Governorates'!$A$2:$A$151,0)),"")</f>
        <v>An-Nuayriyah</v>
      </c>
      <c r="I872" s="18" t="str">
        <f>IFERROR(INDEX('المناطق Regions'!$C$2:$C$15,MATCH(B872,'المناطق Regions'!$A$2:$A$15,0)),"")</f>
        <v>Eastern Province</v>
      </c>
      <c r="J872" s="18" t="str">
        <f>F872&amp;", "&amp;E872&amp;", Saudi Arabia"</f>
        <v>أم السواد, النعيريه, Saudi Arabia</v>
      </c>
      <c r="K872" s="18">
        <v>26.950003</v>
      </c>
      <c r="L872" s="18">
        <v>48.50753</v>
      </c>
      <c r="M872" s="18">
        <v>128583</v>
      </c>
      <c r="N872" s="18" t="s">
        <v>2297</v>
      </c>
    </row>
    <row r="873" ht="15" customHeight="1" spans="1:14" x14ac:dyDescent="0.25">
      <c r="A873" s="13" t="s">
        <v>2308</v>
      </c>
      <c r="B873" s="13">
        <v>5</v>
      </c>
      <c r="C873" s="14" t="s">
        <v>60</v>
      </c>
      <c r="D873" s="13" t="s">
        <v>323</v>
      </c>
      <c r="E873" s="14" t="s">
        <v>324</v>
      </c>
      <c r="F873" s="14" t="s">
        <v>2309</v>
      </c>
      <c r="G873" s="13" t="s">
        <v>149</v>
      </c>
      <c r="H873" s="18" t="str">
        <f>IFERROR(INDEX('المحافظات Governorates'!$E$2:$E$151,MATCH(D873,'المحافظات Governorates'!$A$2:$A$151,0)),"")</f>
        <v>An-Nuayriyah</v>
      </c>
      <c r="I873" s="18" t="str">
        <f>IFERROR(INDEX('المناطق Regions'!$C$2:$C$15,MATCH(B873,'المناطق Regions'!$A$2:$A$15,0)),"")</f>
        <v>Eastern Province</v>
      </c>
      <c r="J873" s="18" t="str">
        <f>F873&amp;", "&amp;E873&amp;", Saudi Arabia"</f>
        <v>الحناه, النعيريه, Saudi Arabia</v>
      </c>
      <c r="K873" s="18">
        <v>26.946051</v>
      </c>
      <c r="L873" s="18">
        <v>48.77313</v>
      </c>
      <c r="M873" s="18">
        <v>2000</v>
      </c>
      <c r="N873" s="18" t="s">
        <v>562</v>
      </c>
    </row>
    <row r="874" ht="15" customHeight="1" spans="1:14" x14ac:dyDescent="0.25">
      <c r="A874" s="11" t="s">
        <v>2310</v>
      </c>
      <c r="B874" s="11">
        <v>5</v>
      </c>
      <c r="C874" s="12" t="s">
        <v>60</v>
      </c>
      <c r="D874" s="11" t="s">
        <v>323</v>
      </c>
      <c r="E874" s="12" t="s">
        <v>324</v>
      </c>
      <c r="F874" s="12" t="s">
        <v>2311</v>
      </c>
      <c r="G874" s="11" t="s">
        <v>149</v>
      </c>
      <c r="H874" s="18" t="str">
        <f>IFERROR(INDEX('المحافظات Governorates'!$E$2:$E$151,MATCH(D874,'المحافظات Governorates'!$A$2:$A$151,0)),"")</f>
        <v>An-Nuayriyah</v>
      </c>
      <c r="I874" s="18" t="str">
        <f>IFERROR(INDEX('المناطق Regions'!$C$2:$C$15,MATCH(B874,'المناطق Regions'!$A$2:$A$15,0)),"")</f>
        <v>Eastern Province</v>
      </c>
      <c r="J874" s="18" t="str">
        <f>F874&amp;", "&amp;E874&amp;", Saudi Arabia"</f>
        <v>المليحه, النعيريه, Saudi Arabia</v>
      </c>
      <c r="K874" s="18">
        <v>26.950003</v>
      </c>
      <c r="L874" s="18">
        <v>48.50753</v>
      </c>
      <c r="M874" s="18">
        <v>128583</v>
      </c>
      <c r="N874" s="18" t="s">
        <v>2297</v>
      </c>
    </row>
    <row r="875" ht="15" customHeight="1" spans="1:14" x14ac:dyDescent="0.25">
      <c r="A875" s="13" t="s">
        <v>2312</v>
      </c>
      <c r="B875" s="13">
        <v>5</v>
      </c>
      <c r="C875" s="14" t="s">
        <v>60</v>
      </c>
      <c r="D875" s="13" t="s">
        <v>323</v>
      </c>
      <c r="E875" s="14" t="s">
        <v>324</v>
      </c>
      <c r="F875" s="14" t="s">
        <v>2313</v>
      </c>
      <c r="G875" s="13" t="s">
        <v>149</v>
      </c>
      <c r="H875" s="18" t="str">
        <f>IFERROR(INDEX('المحافظات Governorates'!$E$2:$E$151,MATCH(D875,'المحافظات Governorates'!$A$2:$A$151,0)),"")</f>
        <v>An-Nuayriyah</v>
      </c>
      <c r="I875" s="18" t="str">
        <f>IFERROR(INDEX('المناطق Regions'!$C$2:$C$15,MATCH(B875,'المناطق Regions'!$A$2:$A$15,0)),"")</f>
        <v>Eastern Province</v>
      </c>
      <c r="J875" s="18" t="str">
        <f>F875&amp;", "&amp;E875&amp;", Saudi Arabia"</f>
        <v>غنوى, النعيريه, Saudi Arabia</v>
      </c>
      <c r="K875" s="18">
        <v>27.011766</v>
      </c>
      <c r="L875" s="18">
        <v>48.458112</v>
      </c>
      <c r="M875" s="18">
        <v>2000</v>
      </c>
      <c r="N875" s="18" t="s">
        <v>562</v>
      </c>
    </row>
    <row r="876" ht="15" customHeight="1" spans="1:14" x14ac:dyDescent="0.25">
      <c r="A876" s="11" t="s">
        <v>2314</v>
      </c>
      <c r="B876" s="11">
        <v>5</v>
      </c>
      <c r="C876" s="12" t="s">
        <v>60</v>
      </c>
      <c r="D876" s="11" t="s">
        <v>323</v>
      </c>
      <c r="E876" s="12" t="s">
        <v>324</v>
      </c>
      <c r="F876" s="12" t="s">
        <v>2315</v>
      </c>
      <c r="G876" s="11" t="s">
        <v>149</v>
      </c>
      <c r="H876" s="18" t="str">
        <f>IFERROR(INDEX('المحافظات Governorates'!$E$2:$E$151,MATCH(D876,'المحافظات Governorates'!$A$2:$A$151,0)),"")</f>
        <v>An-Nuayriyah</v>
      </c>
      <c r="I876" s="18" t="str">
        <f>IFERROR(INDEX('المناطق Regions'!$C$2:$C$15,MATCH(B876,'المناطق Regions'!$A$2:$A$15,0)),"")</f>
        <v>Eastern Province</v>
      </c>
      <c r="J876" s="18" t="str">
        <f>F876&amp;", "&amp;E876&amp;", Saudi Arabia"</f>
        <v>أبو مريكة, النعيريه, Saudi Arabia</v>
      </c>
      <c r="K876" s="18">
        <v>26.950003</v>
      </c>
      <c r="L876" s="18">
        <v>48.50753</v>
      </c>
      <c r="M876" s="18">
        <v>128583</v>
      </c>
      <c r="N876" s="18" t="s">
        <v>2297</v>
      </c>
    </row>
    <row r="877" ht="15" customHeight="1" spans="1:14" x14ac:dyDescent="0.25">
      <c r="A877" s="13" t="s">
        <v>2316</v>
      </c>
      <c r="B877" s="13">
        <v>5</v>
      </c>
      <c r="C877" s="14" t="s">
        <v>60</v>
      </c>
      <c r="D877" s="13" t="s">
        <v>323</v>
      </c>
      <c r="E877" s="14" t="s">
        <v>324</v>
      </c>
      <c r="F877" s="14" t="s">
        <v>2317</v>
      </c>
      <c r="G877" s="13" t="s">
        <v>149</v>
      </c>
      <c r="H877" s="18" t="str">
        <f>IFERROR(INDEX('المحافظات Governorates'!$E$2:$E$151,MATCH(D877,'المحافظات Governorates'!$A$2:$A$151,0)),"")</f>
        <v>An-Nuayriyah</v>
      </c>
      <c r="I877" s="18" t="str">
        <f>IFERROR(INDEX('المناطق Regions'!$C$2:$C$15,MATCH(B877,'المناطق Regions'!$A$2:$A$15,0)),"")</f>
        <v>Eastern Province</v>
      </c>
      <c r="J877" s="18" t="str">
        <f>F877&amp;", "&amp;E877&amp;", Saudi Arabia"</f>
        <v>عرج, النعيريه, Saudi Arabia</v>
      </c>
      <c r="K877" s="18">
        <v>26.950003</v>
      </c>
      <c r="L877" s="18">
        <v>48.50753</v>
      </c>
      <c r="M877" s="18">
        <v>128583</v>
      </c>
      <c r="N877" s="18" t="s">
        <v>2297</v>
      </c>
    </row>
    <row r="878" ht="15" customHeight="1" spans="1:14" x14ac:dyDescent="0.25">
      <c r="A878" s="11" t="s">
        <v>2318</v>
      </c>
      <c r="B878" s="11">
        <v>5</v>
      </c>
      <c r="C878" s="12" t="s">
        <v>60</v>
      </c>
      <c r="D878" s="11" t="s">
        <v>326</v>
      </c>
      <c r="E878" s="12" t="s">
        <v>327</v>
      </c>
      <c r="F878" s="12" t="s">
        <v>602</v>
      </c>
      <c r="G878" s="11" t="s">
        <v>113</v>
      </c>
      <c r="H878" s="18" t="str">
        <f>IFERROR(INDEX('المحافظات Governorates'!$E$2:$E$151,MATCH(D878,'المحافظات Governorates'!$A$2:$A$151,0)),"")</f>
        <v>Qaryat Al-Ulya</v>
      </c>
      <c r="I878" s="18" t="str">
        <f>IFERROR(INDEX('المناطق Regions'!$C$2:$C$15,MATCH(B878,'المناطق Regions'!$A$2:$A$15,0)),"")</f>
        <v>Eastern Province</v>
      </c>
      <c r="J878" s="18" t="str">
        <f>F878&amp;", "&amp;E878&amp;", Saudi Arabia"</f>
        <v>الرفيعه, قريه العليا, Saudi Arabia</v>
      </c>
      <c r="K878" s="18">
        <v>27.142339</v>
      </c>
      <c r="L878" s="18">
        <v>47.094691</v>
      </c>
      <c r="M878" s="18">
        <v>40000</v>
      </c>
      <c r="N878" s="18" t="s">
        <v>1130</v>
      </c>
    </row>
    <row r="879" ht="15" customHeight="1" spans="1:14" x14ac:dyDescent="0.25">
      <c r="A879" s="13" t="s">
        <v>2319</v>
      </c>
      <c r="B879" s="13">
        <v>5</v>
      </c>
      <c r="C879" s="14" t="s">
        <v>60</v>
      </c>
      <c r="D879" s="13" t="s">
        <v>326</v>
      </c>
      <c r="E879" s="14" t="s">
        <v>327</v>
      </c>
      <c r="F879" s="14" t="s">
        <v>2320</v>
      </c>
      <c r="G879" s="13" t="s">
        <v>113</v>
      </c>
      <c r="H879" s="18" t="str">
        <f>IFERROR(INDEX('المحافظات Governorates'!$E$2:$E$151,MATCH(D879,'المحافظات Governorates'!$A$2:$A$151,0)),"")</f>
        <v>Qaryat Al-Ulya</v>
      </c>
      <c r="I879" s="18" t="str">
        <f>IFERROR(INDEX('المناطق Regions'!$C$2:$C$15,MATCH(B879,'المناطق Regions'!$A$2:$A$15,0)),"")</f>
        <v>Eastern Province</v>
      </c>
      <c r="J879" s="18" t="str">
        <f>F879&amp;", "&amp;E879&amp;", Saudi Arabia"</f>
        <v>اللهابه, قريه العليا, Saudi Arabia</v>
      </c>
      <c r="K879" s="18">
        <v>27.142339</v>
      </c>
      <c r="L879" s="18">
        <v>47.094691</v>
      </c>
      <c r="M879" s="18">
        <v>40000</v>
      </c>
      <c r="N879" s="18" t="s">
        <v>1130</v>
      </c>
    </row>
    <row r="880" ht="15" customHeight="1" spans="1:14" x14ac:dyDescent="0.25">
      <c r="A880" s="11" t="s">
        <v>2321</v>
      </c>
      <c r="B880" s="11">
        <v>5</v>
      </c>
      <c r="C880" s="12" t="s">
        <v>60</v>
      </c>
      <c r="D880" s="11" t="s">
        <v>326</v>
      </c>
      <c r="E880" s="12" t="s">
        <v>327</v>
      </c>
      <c r="F880" s="12" t="s">
        <v>2322</v>
      </c>
      <c r="G880" s="11" t="s">
        <v>113</v>
      </c>
      <c r="H880" s="18" t="str">
        <f>IFERROR(INDEX('المحافظات Governorates'!$E$2:$E$151,MATCH(D880,'المحافظات Governorates'!$A$2:$A$151,0)),"")</f>
        <v>Qaryat Al-Ulya</v>
      </c>
      <c r="I880" s="18" t="str">
        <f>IFERROR(INDEX('المناطق Regions'!$C$2:$C$15,MATCH(B880,'المناطق Regions'!$A$2:$A$15,0)),"")</f>
        <v>Eastern Province</v>
      </c>
      <c r="J880" s="18" t="str">
        <f>F880&amp;", "&amp;E880&amp;", Saudi Arabia"</f>
        <v>الشيط, قريه العليا, Saudi Arabia</v>
      </c>
      <c r="K880" s="18">
        <v>27.142339</v>
      </c>
      <c r="L880" s="18">
        <v>47.094691</v>
      </c>
      <c r="M880" s="18">
        <v>40000</v>
      </c>
      <c r="N880" s="18" t="s">
        <v>1130</v>
      </c>
    </row>
    <row r="881" ht="15" customHeight="1" spans="1:14" x14ac:dyDescent="0.25">
      <c r="A881" s="13" t="s">
        <v>2323</v>
      </c>
      <c r="B881" s="13">
        <v>5</v>
      </c>
      <c r="C881" s="14" t="s">
        <v>60</v>
      </c>
      <c r="D881" s="13" t="s">
        <v>326</v>
      </c>
      <c r="E881" s="14" t="s">
        <v>327</v>
      </c>
      <c r="F881" s="14" t="s">
        <v>2324</v>
      </c>
      <c r="G881" s="13" t="s">
        <v>149</v>
      </c>
      <c r="H881" s="18" t="str">
        <f>IFERROR(INDEX('المحافظات Governorates'!$E$2:$E$151,MATCH(D881,'المحافظات Governorates'!$A$2:$A$151,0)),"")</f>
        <v>Qaryat Al-Ulya</v>
      </c>
      <c r="I881" s="18" t="str">
        <f>IFERROR(INDEX('المناطق Regions'!$C$2:$C$15,MATCH(B881,'المناطق Regions'!$A$2:$A$15,0)),"")</f>
        <v>Eastern Province</v>
      </c>
      <c r="J881" s="18" t="str">
        <f>F881&amp;", "&amp;E881&amp;", Saudi Arabia"</f>
        <v>مشله, قريه العليا, Saudi Arabia</v>
      </c>
      <c r="K881" s="18">
        <v>27.142339</v>
      </c>
      <c r="L881" s="18">
        <v>47.094691</v>
      </c>
      <c r="M881" s="18">
        <v>40000</v>
      </c>
      <c r="N881" s="18" t="s">
        <v>1130</v>
      </c>
    </row>
    <row r="882" ht="15" customHeight="1" spans="1:14" x14ac:dyDescent="0.25">
      <c r="A882" s="11" t="s">
        <v>2325</v>
      </c>
      <c r="B882" s="11">
        <v>5</v>
      </c>
      <c r="C882" s="12" t="s">
        <v>60</v>
      </c>
      <c r="D882" s="11" t="s">
        <v>326</v>
      </c>
      <c r="E882" s="12" t="s">
        <v>327</v>
      </c>
      <c r="F882" s="12" t="s">
        <v>739</v>
      </c>
      <c r="G882" s="11" t="s">
        <v>113</v>
      </c>
      <c r="H882" s="18" t="str">
        <f>IFERROR(INDEX('المحافظات Governorates'!$E$2:$E$151,MATCH(D882,'المحافظات Governorates'!$A$2:$A$151,0)),"")</f>
        <v>Qaryat Al-Ulya</v>
      </c>
      <c r="I882" s="18" t="str">
        <f>IFERROR(INDEX('المناطق Regions'!$C$2:$C$15,MATCH(B882,'المناطق Regions'!$A$2:$A$15,0)),"")</f>
        <v>Eastern Province</v>
      </c>
      <c r="J882" s="18" t="str">
        <f>F882&amp;", "&amp;E882&amp;", Saudi Arabia"</f>
        <v>العاذريه, قريه العليا, Saudi Arabia</v>
      </c>
      <c r="K882" s="18">
        <v>27.142339</v>
      </c>
      <c r="L882" s="18">
        <v>47.094691</v>
      </c>
      <c r="M882" s="18">
        <v>40000</v>
      </c>
      <c r="N882" s="18" t="s">
        <v>1130</v>
      </c>
    </row>
    <row r="883" ht="15" customHeight="1" spans="1:14" x14ac:dyDescent="0.25">
      <c r="A883" s="13" t="s">
        <v>2326</v>
      </c>
      <c r="B883" s="13">
        <v>5</v>
      </c>
      <c r="C883" s="14" t="s">
        <v>60</v>
      </c>
      <c r="D883" s="13" t="s">
        <v>326</v>
      </c>
      <c r="E883" s="14" t="s">
        <v>327</v>
      </c>
      <c r="F883" s="14" t="s">
        <v>1951</v>
      </c>
      <c r="G883" s="13" t="s">
        <v>113</v>
      </c>
      <c r="H883" s="18" t="str">
        <f>IFERROR(INDEX('المحافظات Governorates'!$E$2:$E$151,MATCH(D883,'المحافظات Governorates'!$A$2:$A$151,0)),"")</f>
        <v>Qaryat Al-Ulya</v>
      </c>
      <c r="I883" s="18" t="str">
        <f>IFERROR(INDEX('المناطق Regions'!$C$2:$C$15,MATCH(B883,'المناطق Regions'!$A$2:$A$15,0)),"")</f>
        <v>Eastern Province</v>
      </c>
      <c r="J883" s="18" t="str">
        <f>F883&amp;", "&amp;E883&amp;", Saudi Arabia"</f>
        <v>الشيحيه, قريه العليا, Saudi Arabia</v>
      </c>
      <c r="K883" s="18">
        <v>27.142339</v>
      </c>
      <c r="L883" s="18">
        <v>47.094691</v>
      </c>
      <c r="M883" s="18">
        <v>40000</v>
      </c>
      <c r="N883" s="18" t="s">
        <v>1130</v>
      </c>
    </row>
    <row r="884" ht="15" customHeight="1" spans="1:14" x14ac:dyDescent="0.25">
      <c r="A884" s="11" t="s">
        <v>2327</v>
      </c>
      <c r="B884" s="11">
        <v>5</v>
      </c>
      <c r="C884" s="12" t="s">
        <v>60</v>
      </c>
      <c r="D884" s="11" t="s">
        <v>326</v>
      </c>
      <c r="E884" s="12" t="s">
        <v>327</v>
      </c>
      <c r="F884" s="12" t="s">
        <v>2328</v>
      </c>
      <c r="G884" s="11" t="s">
        <v>113</v>
      </c>
      <c r="H884" s="18" t="str">
        <f>IFERROR(INDEX('المحافظات Governorates'!$E$2:$E$151,MATCH(D884,'المحافظات Governorates'!$A$2:$A$151,0)),"")</f>
        <v>Qaryat Al-Ulya</v>
      </c>
      <c r="I884" s="18" t="str">
        <f>IFERROR(INDEX('المناطق Regions'!$C$2:$C$15,MATCH(B884,'المناطق Regions'!$A$2:$A$15,0)),"")</f>
        <v>Eastern Province</v>
      </c>
      <c r="J884" s="18" t="str">
        <f>F884&amp;", "&amp;E884&amp;", Saudi Arabia"</f>
        <v>الفريده, قريه العليا, Saudi Arabia</v>
      </c>
      <c r="K884" s="18">
        <v>27.142339</v>
      </c>
      <c r="L884" s="18">
        <v>47.094691</v>
      </c>
      <c r="M884" s="18">
        <v>40000</v>
      </c>
      <c r="N884" s="18" t="s">
        <v>1130</v>
      </c>
    </row>
    <row r="885" ht="15" customHeight="1" spans="1:14" x14ac:dyDescent="0.25">
      <c r="A885" s="13" t="s">
        <v>2329</v>
      </c>
      <c r="B885" s="13">
        <v>5</v>
      </c>
      <c r="C885" s="14" t="s">
        <v>60</v>
      </c>
      <c r="D885" s="13" t="s">
        <v>326</v>
      </c>
      <c r="E885" s="14" t="s">
        <v>327</v>
      </c>
      <c r="F885" s="14" t="s">
        <v>839</v>
      </c>
      <c r="G885" s="13" t="s">
        <v>113</v>
      </c>
      <c r="H885" s="18" t="str">
        <f>IFERROR(INDEX('المحافظات Governorates'!$E$2:$E$151,MATCH(D885,'المحافظات Governorates'!$A$2:$A$151,0)),"")</f>
        <v>Qaryat Al-Ulya</v>
      </c>
      <c r="I885" s="18" t="str">
        <f>IFERROR(INDEX('المناطق Regions'!$C$2:$C$15,MATCH(B885,'المناطق Regions'!$A$2:$A$15,0)),"")</f>
        <v>Eastern Province</v>
      </c>
      <c r="J885" s="18" t="str">
        <f>F885&amp;", "&amp;E885&amp;", Saudi Arabia"</f>
        <v>الشاميه, قريه العليا, Saudi Arabia</v>
      </c>
      <c r="K885" s="18">
        <v>27.142339</v>
      </c>
      <c r="L885" s="18">
        <v>47.094691</v>
      </c>
      <c r="M885" s="18">
        <v>40000</v>
      </c>
      <c r="N885" s="18" t="s">
        <v>1130</v>
      </c>
    </row>
    <row r="886" ht="15" customHeight="1" spans="1:14" x14ac:dyDescent="0.25">
      <c r="A886" s="11" t="s">
        <v>2330</v>
      </c>
      <c r="B886" s="11">
        <v>5</v>
      </c>
      <c r="C886" s="12" t="s">
        <v>60</v>
      </c>
      <c r="D886" s="11" t="s">
        <v>326</v>
      </c>
      <c r="E886" s="12" t="s">
        <v>327</v>
      </c>
      <c r="F886" s="12" t="s">
        <v>2331</v>
      </c>
      <c r="G886" s="11" t="s">
        <v>113</v>
      </c>
      <c r="H886" s="18" t="str">
        <f>IFERROR(INDEX('المحافظات Governorates'!$E$2:$E$151,MATCH(D886,'المحافظات Governorates'!$A$2:$A$151,0)),"")</f>
        <v>Qaryat Al-Ulya</v>
      </c>
      <c r="I886" s="18" t="str">
        <f>IFERROR(INDEX('المناطق Regions'!$C$2:$C$15,MATCH(B886,'المناطق Regions'!$A$2:$A$15,0)),"")</f>
        <v>Eastern Province</v>
      </c>
      <c r="J886" s="18" t="str">
        <f>F886&amp;", "&amp;E886&amp;", Saudi Arabia"</f>
        <v>اللصافه, قريه العليا, Saudi Arabia</v>
      </c>
      <c r="K886" s="18">
        <v>27.142339</v>
      </c>
      <c r="L886" s="18">
        <v>47.094691</v>
      </c>
      <c r="M886" s="18">
        <v>40000</v>
      </c>
      <c r="N886" s="18" t="s">
        <v>1130</v>
      </c>
    </row>
    <row r="887" ht="15" customHeight="1" spans="1:14" x14ac:dyDescent="0.25">
      <c r="A887" s="13" t="s">
        <v>2332</v>
      </c>
      <c r="B887" s="13">
        <v>5</v>
      </c>
      <c r="C887" s="14" t="s">
        <v>60</v>
      </c>
      <c r="D887" s="13" t="s">
        <v>326</v>
      </c>
      <c r="E887" s="14" t="s">
        <v>327</v>
      </c>
      <c r="F887" s="14" t="s">
        <v>2333</v>
      </c>
      <c r="G887" s="13" t="s">
        <v>113</v>
      </c>
      <c r="H887" s="18" t="str">
        <f>IFERROR(INDEX('المحافظات Governorates'!$E$2:$E$151,MATCH(D887,'المحافظات Governorates'!$A$2:$A$151,0)),"")</f>
        <v>Qaryat Al-Ulya</v>
      </c>
      <c r="I887" s="18" t="str">
        <f>IFERROR(INDEX('المناطق Regions'!$C$2:$C$15,MATCH(B887,'المناطق Regions'!$A$2:$A$15,0)),"")</f>
        <v>Eastern Province</v>
      </c>
      <c r="J887" s="18" t="str">
        <f>F887&amp;", "&amp;E887&amp;", Saudi Arabia"</f>
        <v>أم الشفلح, قريه العليا, Saudi Arabia</v>
      </c>
      <c r="K887" s="18">
        <v>27.142339</v>
      </c>
      <c r="L887" s="18">
        <v>47.094691</v>
      </c>
      <c r="M887" s="18">
        <v>40000</v>
      </c>
      <c r="N887" s="18" t="s">
        <v>1130</v>
      </c>
    </row>
    <row r="888" ht="15" customHeight="1" spans="1:14" x14ac:dyDescent="0.25">
      <c r="A888" s="11" t="s">
        <v>2334</v>
      </c>
      <c r="B888" s="11">
        <v>5</v>
      </c>
      <c r="C888" s="12" t="s">
        <v>60</v>
      </c>
      <c r="D888" s="11" t="s">
        <v>326</v>
      </c>
      <c r="E888" s="12" t="s">
        <v>327</v>
      </c>
      <c r="F888" s="12" t="s">
        <v>2335</v>
      </c>
      <c r="G888" s="11" t="s">
        <v>113</v>
      </c>
      <c r="H888" s="18" t="str">
        <f>IFERROR(INDEX('المحافظات Governorates'!$E$2:$E$151,MATCH(D888,'المحافظات Governorates'!$A$2:$A$151,0)),"")</f>
        <v>Qaryat Al-Ulya</v>
      </c>
      <c r="I888" s="18" t="str">
        <f>IFERROR(INDEX('المناطق Regions'!$C$2:$C$15,MATCH(B888,'المناطق Regions'!$A$2:$A$15,0)),"")</f>
        <v>Eastern Province</v>
      </c>
      <c r="J888" s="18" t="str">
        <f>F888&amp;", "&amp;E888&amp;", Saudi Arabia"</f>
        <v>ام عقلا, قريه العليا, Saudi Arabia</v>
      </c>
      <c r="K888" s="18">
        <v>27.142339</v>
      </c>
      <c r="L888" s="18">
        <v>47.094691</v>
      </c>
      <c r="M888" s="18">
        <v>40000</v>
      </c>
      <c r="N888" s="18" t="s">
        <v>1130</v>
      </c>
    </row>
    <row r="889" ht="15" customHeight="1" spans="1:14" x14ac:dyDescent="0.25">
      <c r="A889" s="13" t="s">
        <v>2336</v>
      </c>
      <c r="B889" s="13">
        <v>5</v>
      </c>
      <c r="C889" s="14" t="s">
        <v>60</v>
      </c>
      <c r="D889" s="13" t="s">
        <v>326</v>
      </c>
      <c r="E889" s="14" t="s">
        <v>327</v>
      </c>
      <c r="F889" s="14" t="s">
        <v>2337</v>
      </c>
      <c r="G889" s="13" t="s">
        <v>113</v>
      </c>
      <c r="H889" s="18" t="str">
        <f>IFERROR(INDEX('المحافظات Governorates'!$E$2:$E$151,MATCH(D889,'المحافظات Governorates'!$A$2:$A$151,0)),"")</f>
        <v>Qaryat Al-Ulya</v>
      </c>
      <c r="I889" s="18" t="str">
        <f>IFERROR(INDEX('المناطق Regions'!$C$2:$C$15,MATCH(B889,'المناطق Regions'!$A$2:$A$15,0)),"")</f>
        <v>Eastern Province</v>
      </c>
      <c r="J889" s="18" t="str">
        <f>F889&amp;", "&amp;E889&amp;", Saudi Arabia"</f>
        <v>رديفة القرعاء, قريه العليا, Saudi Arabia</v>
      </c>
      <c r="K889" s="18">
        <v>27.142339</v>
      </c>
      <c r="L889" s="18">
        <v>47.094691</v>
      </c>
      <c r="M889" s="18">
        <v>40000</v>
      </c>
      <c r="N889" s="18" t="s">
        <v>1130</v>
      </c>
    </row>
    <row r="890" ht="15" customHeight="1" spans="1:14" x14ac:dyDescent="0.25">
      <c r="A890" s="11" t="s">
        <v>2338</v>
      </c>
      <c r="B890" s="11">
        <v>5</v>
      </c>
      <c r="C890" s="12" t="s">
        <v>60</v>
      </c>
      <c r="D890" s="11" t="s">
        <v>326</v>
      </c>
      <c r="E890" s="12" t="s">
        <v>327</v>
      </c>
      <c r="F890" s="12" t="s">
        <v>2339</v>
      </c>
      <c r="G890" s="11" t="s">
        <v>149</v>
      </c>
      <c r="H890" s="18" t="str">
        <f>IFERROR(INDEX('المحافظات Governorates'!$E$2:$E$151,MATCH(D890,'المحافظات Governorates'!$A$2:$A$151,0)),"")</f>
        <v>Qaryat Al-Ulya</v>
      </c>
      <c r="I890" s="18" t="str">
        <f>IFERROR(INDEX('المناطق Regions'!$C$2:$C$15,MATCH(B890,'المناطق Regions'!$A$2:$A$15,0)),"")</f>
        <v>Eastern Province</v>
      </c>
      <c r="J890" s="18" t="str">
        <f>F890&amp;", "&amp;E890&amp;", Saudi Arabia"</f>
        <v>ام غور, قريه العليا, Saudi Arabia</v>
      </c>
      <c r="K890" s="18">
        <v>27.142339</v>
      </c>
      <c r="L890" s="18">
        <v>47.094691</v>
      </c>
      <c r="M890" s="18">
        <v>40000</v>
      </c>
      <c r="N890" s="18" t="s">
        <v>1130</v>
      </c>
    </row>
    <row r="891" ht="15" customHeight="1" spans="1:14" x14ac:dyDescent="0.25">
      <c r="A891" s="13" t="s">
        <v>2340</v>
      </c>
      <c r="B891" s="13">
        <v>5</v>
      </c>
      <c r="C891" s="14" t="s">
        <v>60</v>
      </c>
      <c r="D891" s="13" t="s">
        <v>326</v>
      </c>
      <c r="E891" s="14" t="s">
        <v>327</v>
      </c>
      <c r="F891" s="14" t="s">
        <v>2341</v>
      </c>
      <c r="G891" s="13" t="s">
        <v>149</v>
      </c>
      <c r="H891" s="18" t="str">
        <f>IFERROR(INDEX('المحافظات Governorates'!$E$2:$E$151,MATCH(D891,'المحافظات Governorates'!$A$2:$A$151,0)),"")</f>
        <v>Qaryat Al-Ulya</v>
      </c>
      <c r="I891" s="18" t="str">
        <f>IFERROR(INDEX('المناطق Regions'!$C$2:$C$15,MATCH(B891,'المناطق Regions'!$A$2:$A$15,0)),"")</f>
        <v>Eastern Province</v>
      </c>
      <c r="J891" s="18" t="str">
        <f>F891&amp;", "&amp;E891&amp;", Saudi Arabia"</f>
        <v>المحوى, قريه العليا, Saudi Arabia</v>
      </c>
      <c r="K891" s="18">
        <v>27.142339</v>
      </c>
      <c r="L891" s="18">
        <v>47.094691</v>
      </c>
      <c r="M891" s="18">
        <v>40000</v>
      </c>
      <c r="N891" s="18" t="s">
        <v>1130</v>
      </c>
    </row>
    <row r="892" ht="15" customHeight="1" spans="1:14" x14ac:dyDescent="0.25">
      <c r="A892" s="11" t="s">
        <v>2342</v>
      </c>
      <c r="B892" s="11">
        <v>5</v>
      </c>
      <c r="C892" s="12" t="s">
        <v>60</v>
      </c>
      <c r="D892" s="11" t="s">
        <v>326</v>
      </c>
      <c r="E892" s="12" t="s">
        <v>327</v>
      </c>
      <c r="F892" s="12" t="s">
        <v>2032</v>
      </c>
      <c r="G892" s="11" t="s">
        <v>149</v>
      </c>
      <c r="H892" s="18" t="str">
        <f>IFERROR(INDEX('المحافظات Governorates'!$E$2:$E$151,MATCH(D892,'المحافظات Governorates'!$A$2:$A$151,0)),"")</f>
        <v>Qaryat Al-Ulya</v>
      </c>
      <c r="I892" s="18" t="str">
        <f>IFERROR(INDEX('المناطق Regions'!$C$2:$C$15,MATCH(B892,'المناطق Regions'!$A$2:$A$15,0)),"")</f>
        <v>Eastern Province</v>
      </c>
      <c r="J892" s="18" t="str">
        <f>F892&amp;", "&amp;E892&amp;", Saudi Arabia"</f>
        <v>مطربه, قريه العليا, Saudi Arabia</v>
      </c>
      <c r="K892" s="18">
        <v>27.142339</v>
      </c>
      <c r="L892" s="18">
        <v>47.094691</v>
      </c>
      <c r="M892" s="18">
        <v>40000</v>
      </c>
      <c r="N892" s="18" t="s">
        <v>1130</v>
      </c>
    </row>
    <row r="893" ht="15" customHeight="1" spans="1:14" x14ac:dyDescent="0.25">
      <c r="A893" s="13" t="s">
        <v>2343</v>
      </c>
      <c r="B893" s="13">
        <v>5</v>
      </c>
      <c r="C893" s="14" t="s">
        <v>60</v>
      </c>
      <c r="D893" s="13" t="s">
        <v>326</v>
      </c>
      <c r="E893" s="14" t="s">
        <v>327</v>
      </c>
      <c r="F893" s="14" t="s">
        <v>2344</v>
      </c>
      <c r="G893" s="13" t="s">
        <v>149</v>
      </c>
      <c r="H893" s="18" t="str">
        <f>IFERROR(INDEX('المحافظات Governorates'!$E$2:$E$151,MATCH(D893,'المحافظات Governorates'!$A$2:$A$151,0)),"")</f>
        <v>Qaryat Al-Ulya</v>
      </c>
      <c r="I893" s="18" t="str">
        <f>IFERROR(INDEX('المناطق Regions'!$C$2:$C$15,MATCH(B893,'المناطق Regions'!$A$2:$A$15,0)),"")</f>
        <v>Eastern Province</v>
      </c>
      <c r="J893" s="18" t="str">
        <f>F893&amp;", "&amp;E893&amp;", Saudi Arabia"</f>
        <v>البويبيات, قريه العليا, Saudi Arabia</v>
      </c>
      <c r="K893" s="18">
        <v>27.142339</v>
      </c>
      <c r="L893" s="18">
        <v>47.094691</v>
      </c>
      <c r="M893" s="18">
        <v>40000</v>
      </c>
      <c r="N893" s="18" t="s">
        <v>1130</v>
      </c>
    </row>
    <row r="894" ht="15" customHeight="1" spans="1:14" x14ac:dyDescent="0.25">
      <c r="A894" s="11" t="s">
        <v>2345</v>
      </c>
      <c r="B894" s="11">
        <v>5</v>
      </c>
      <c r="C894" s="12" t="s">
        <v>60</v>
      </c>
      <c r="D894" s="11" t="s">
        <v>329</v>
      </c>
      <c r="E894" s="12" t="s">
        <v>330</v>
      </c>
      <c r="F894" s="12" t="s">
        <v>2346</v>
      </c>
      <c r="G894" s="11" t="s">
        <v>113</v>
      </c>
      <c r="H894" s="18" t="str">
        <f>IFERROR(INDEX('المحافظات Governorates'!$E$2:$E$151,MATCH(D894,'المحافظات Governorates'!$A$2:$A$151,0)),"")</f>
        <v>Al-Udayd</v>
      </c>
      <c r="I894" s="18" t="str">
        <f>IFERROR(INDEX('المناطق Regions'!$C$2:$C$15,MATCH(B894,'المناطق Regions'!$A$2:$A$15,0)),"")</f>
        <v>Eastern Province</v>
      </c>
      <c r="J894" s="18" t="str">
        <f>F894&amp;", "&amp;E894&amp;", Saudi Arabia"</f>
        <v>انباك, العديد, Saudi Arabia</v>
      </c>
      <c r="K894" s="18">
        <v>24.406359</v>
      </c>
      <c r="L894" s="18">
        <v>50.838994</v>
      </c>
      <c r="M894" s="18">
        <v>2000</v>
      </c>
      <c r="N894" s="18" t="s">
        <v>562</v>
      </c>
    </row>
    <row r="895" ht="15" customHeight="1" spans="1:14" x14ac:dyDescent="0.25">
      <c r="A895" s="13" t="s">
        <v>2347</v>
      </c>
      <c r="B895" s="13">
        <v>5</v>
      </c>
      <c r="C895" s="14" t="s">
        <v>60</v>
      </c>
      <c r="D895" s="13" t="s">
        <v>329</v>
      </c>
      <c r="E895" s="14" t="s">
        <v>330</v>
      </c>
      <c r="F895" s="14" t="s">
        <v>2348</v>
      </c>
      <c r="G895" s="13" t="s">
        <v>113</v>
      </c>
      <c r="H895" s="18" t="str">
        <f>IFERROR(INDEX('المحافظات Governorates'!$E$2:$E$151,MATCH(D895,'المحافظات Governorates'!$A$2:$A$151,0)),"")</f>
        <v>Al-Udayd</v>
      </c>
      <c r="I895" s="18" t="str">
        <f>IFERROR(INDEX('المناطق Regions'!$C$2:$C$15,MATCH(B895,'المناطق Regions'!$A$2:$A$15,0)),"")</f>
        <v>Eastern Province</v>
      </c>
      <c r="J895" s="18" t="str">
        <f>F895&amp;", "&amp;E895&amp;", Saudi Arabia"</f>
        <v>سلوى, العديد, Saudi Arabia</v>
      </c>
      <c r="K895" s="18">
        <v>24.740833</v>
      </c>
      <c r="L895" s="18">
        <v>50.758333</v>
      </c>
      <c r="M895" s="18">
        <v>2000</v>
      </c>
      <c r="N895" s="18" t="s">
        <v>562</v>
      </c>
    </row>
    <row r="896" ht="15" customHeight="1" spans="1:14" x14ac:dyDescent="0.25">
      <c r="A896" s="11" t="s">
        <v>2349</v>
      </c>
      <c r="B896" s="11">
        <v>5</v>
      </c>
      <c r="C896" s="12" t="s">
        <v>60</v>
      </c>
      <c r="D896" s="11" t="s">
        <v>329</v>
      </c>
      <c r="E896" s="12" t="s">
        <v>330</v>
      </c>
      <c r="F896" s="12" t="s">
        <v>2350</v>
      </c>
      <c r="G896" s="11" t="s">
        <v>113</v>
      </c>
      <c r="H896" s="18" t="str">
        <f>IFERROR(INDEX('المحافظات Governorates'!$E$2:$E$151,MATCH(D896,'المحافظات Governorates'!$A$2:$A$151,0)),"")</f>
        <v>Al-Udayd</v>
      </c>
      <c r="I896" s="18" t="str">
        <f>IFERROR(INDEX('المناطق Regions'!$C$2:$C$15,MATCH(B896,'المناطق Regions'!$A$2:$A$15,0)),"")</f>
        <v>Eastern Province</v>
      </c>
      <c r="J896" s="18" t="str">
        <f>F896&amp;", "&amp;E896&amp;", Saudi Arabia"</f>
        <v>البطحاء, العديد, Saudi Arabia</v>
      </c>
      <c r="K896" s="18">
        <v>24.133029</v>
      </c>
      <c r="L896" s="18">
        <v>51.567585</v>
      </c>
      <c r="M896" s="18">
        <v>2000</v>
      </c>
      <c r="N896" s="18" t="s">
        <v>562</v>
      </c>
    </row>
    <row r="897" ht="15" customHeight="1" spans="1:14" x14ac:dyDescent="0.25">
      <c r="A897" s="13" t="s">
        <v>2351</v>
      </c>
      <c r="B897" s="13">
        <v>5</v>
      </c>
      <c r="C897" s="14" t="s">
        <v>60</v>
      </c>
      <c r="D897" s="13" t="s">
        <v>329</v>
      </c>
      <c r="E897" s="14" t="s">
        <v>330</v>
      </c>
      <c r="F897" s="14" t="s">
        <v>2352</v>
      </c>
      <c r="G897" s="13" t="s">
        <v>149</v>
      </c>
      <c r="H897" s="18" t="str">
        <f>IFERROR(INDEX('المحافظات Governorates'!$E$2:$E$151,MATCH(D897,'المحافظات Governorates'!$A$2:$A$151,0)),"")</f>
        <v>Al-Udayd</v>
      </c>
      <c r="I897" s="18" t="str">
        <f>IFERROR(INDEX('المناطق Regions'!$C$2:$C$15,MATCH(B897,'المناطق Regions'!$A$2:$A$15,0)),"")</f>
        <v>Eastern Province</v>
      </c>
      <c r="J897" s="18" t="str">
        <f>F897&amp;", "&amp;E897&amp;", Saudi Arabia"</f>
        <v>وسيع, العديد, Saudi Arabia</v>
      </c>
      <c r="K897" s="18">
        <v>23.870487</v>
      </c>
      <c r="L897" s="18">
        <v>50.745905</v>
      </c>
      <c r="M897" s="18">
        <v>2000</v>
      </c>
      <c r="N897" s="18" t="s">
        <v>562</v>
      </c>
    </row>
    <row r="898" ht="15" customHeight="1" spans="1:14" x14ac:dyDescent="0.25">
      <c r="A898" s="11" t="s">
        <v>2353</v>
      </c>
      <c r="B898" s="11">
        <v>5</v>
      </c>
      <c r="C898" s="12" t="s">
        <v>60</v>
      </c>
      <c r="D898" s="11" t="s">
        <v>329</v>
      </c>
      <c r="E898" s="12" t="s">
        <v>330</v>
      </c>
      <c r="F898" s="12" t="s">
        <v>2354</v>
      </c>
      <c r="G898" s="11" t="s">
        <v>113</v>
      </c>
      <c r="H898" s="18" t="str">
        <f>IFERROR(INDEX('المحافظات Governorates'!$E$2:$E$151,MATCH(D898,'المحافظات Governorates'!$A$2:$A$151,0)),"")</f>
        <v>Al-Udayd</v>
      </c>
      <c r="I898" s="18" t="str">
        <f>IFERROR(INDEX('المناطق Regions'!$C$2:$C$15,MATCH(B898,'المناطق Regions'!$A$2:$A$15,0)),"")</f>
        <v>Eastern Province</v>
      </c>
      <c r="J898" s="18" t="str">
        <f>F898&amp;", "&amp;E898&amp;", Saudi Arabia"</f>
        <v>عرده, العديد, Saudi Arabia</v>
      </c>
      <c r="K898" s="18">
        <v>21.2355</v>
      </c>
      <c r="L898" s="18">
        <v>55.2648</v>
      </c>
      <c r="M898" s="18">
        <v>2000</v>
      </c>
      <c r="N898" s="18" t="s">
        <v>562</v>
      </c>
    </row>
    <row r="899" ht="15" customHeight="1" spans="1:14" x14ac:dyDescent="0.25">
      <c r="A899" s="13" t="s">
        <v>2355</v>
      </c>
      <c r="B899" s="13">
        <v>6</v>
      </c>
      <c r="C899" s="14" t="s">
        <v>65</v>
      </c>
      <c r="D899" s="13" t="s">
        <v>333</v>
      </c>
      <c r="E899" s="14" t="s">
        <v>68</v>
      </c>
      <c r="F899" s="14" t="s">
        <v>2356</v>
      </c>
      <c r="G899" s="13" t="s">
        <v>113</v>
      </c>
      <c r="H899" s="18" t="str">
        <f>IFERROR(INDEX('المحافظات Governorates'!$E$2:$E$151,MATCH(D899,'المحافظات Governorates'!$A$2:$A$151,0)),"")</f>
        <v>Abha</v>
      </c>
      <c r="I899" s="18" t="str">
        <f>IFERROR(INDEX('المناطق Regions'!$C$2:$C$15,MATCH(B899,'المناطق Regions'!$A$2:$A$15,0)),"")</f>
        <v>Aseer</v>
      </c>
      <c r="J899" s="18" t="str">
        <f>F899&amp;", "&amp;E899&amp;", Saudi Arabia"</f>
        <v>السوده, أبها, Saudi Arabia</v>
      </c>
      <c r="K899" s="18">
        <v>18.265593</v>
      </c>
      <c r="L899" s="18">
        <v>42.367559</v>
      </c>
      <c r="M899" s="18">
        <v>2000</v>
      </c>
      <c r="N899" s="18" t="s">
        <v>562</v>
      </c>
    </row>
    <row r="900" ht="15" customHeight="1" spans="1:14" x14ac:dyDescent="0.25">
      <c r="A900" s="11" t="s">
        <v>2357</v>
      </c>
      <c r="B900" s="11">
        <v>6</v>
      </c>
      <c r="C900" s="12" t="s">
        <v>65</v>
      </c>
      <c r="D900" s="11" t="s">
        <v>333</v>
      </c>
      <c r="E900" s="12" t="s">
        <v>68</v>
      </c>
      <c r="F900" s="12" t="s">
        <v>2358</v>
      </c>
      <c r="G900" s="11" t="s">
        <v>113</v>
      </c>
      <c r="H900" s="18" t="str">
        <f>IFERROR(INDEX('المحافظات Governorates'!$E$2:$E$151,MATCH(D900,'المحافظات Governorates'!$A$2:$A$151,0)),"")</f>
        <v>Abha</v>
      </c>
      <c r="I900" s="18" t="str">
        <f>IFERROR(INDEX('المناطق Regions'!$C$2:$C$15,MATCH(B900,'المناطق Regions'!$A$2:$A$15,0)),"")</f>
        <v>Aseer</v>
      </c>
      <c r="J900" s="18" t="str">
        <f>F900&amp;", "&amp;E900&amp;", Saudi Arabia"</f>
        <v>بللحمر, أبها, Saudi Arabia</v>
      </c>
      <c r="K900" s="18">
        <v>18.633756</v>
      </c>
      <c r="L900" s="18">
        <v>42.324066</v>
      </c>
      <c r="M900" s="18">
        <v>2000</v>
      </c>
      <c r="N900" s="18" t="s">
        <v>562</v>
      </c>
    </row>
    <row r="901" ht="15" customHeight="1" spans="1:14" x14ac:dyDescent="0.25">
      <c r="A901" s="13" t="s">
        <v>2359</v>
      </c>
      <c r="B901" s="13">
        <v>6</v>
      </c>
      <c r="C901" s="14" t="s">
        <v>65</v>
      </c>
      <c r="D901" s="13" t="s">
        <v>333</v>
      </c>
      <c r="E901" s="14" t="s">
        <v>68</v>
      </c>
      <c r="F901" s="14" t="s">
        <v>2360</v>
      </c>
      <c r="G901" s="13" t="s">
        <v>113</v>
      </c>
      <c r="H901" s="18" t="str">
        <f>IFERROR(INDEX('المحافظات Governorates'!$E$2:$E$151,MATCH(D901,'المحافظات Governorates'!$A$2:$A$151,0)),"")</f>
        <v>Abha</v>
      </c>
      <c r="I901" s="18" t="str">
        <f>IFERROR(INDEX('المناطق Regions'!$C$2:$C$15,MATCH(B901,'المناطق Regions'!$A$2:$A$15,0)),"")</f>
        <v>Aseer</v>
      </c>
      <c r="J901" s="18" t="str">
        <f>F901&amp;", "&amp;E901&amp;", Saudi Arabia"</f>
        <v>الشعف, أبها, Saudi Arabia</v>
      </c>
      <c r="K901" s="18">
        <v>18.344493</v>
      </c>
      <c r="L901" s="18">
        <v>42.494776</v>
      </c>
      <c r="M901" s="18">
        <v>159305</v>
      </c>
      <c r="N901" s="18" t="s">
        <v>2361</v>
      </c>
    </row>
    <row r="902" ht="15" customHeight="1" spans="1:14" x14ac:dyDescent="0.25">
      <c r="A902" s="11" t="s">
        <v>2362</v>
      </c>
      <c r="B902" s="11">
        <v>6</v>
      </c>
      <c r="C902" s="12" t="s">
        <v>65</v>
      </c>
      <c r="D902" s="11" t="s">
        <v>333</v>
      </c>
      <c r="E902" s="12" t="s">
        <v>68</v>
      </c>
      <c r="F902" s="12" t="s">
        <v>2363</v>
      </c>
      <c r="G902" s="11" t="s">
        <v>113</v>
      </c>
      <c r="H902" s="18" t="str">
        <f>IFERROR(INDEX('المحافظات Governorates'!$E$2:$E$151,MATCH(D902,'المحافظات Governorates'!$A$2:$A$151,0)),"")</f>
        <v>Abha</v>
      </c>
      <c r="I902" s="18" t="str">
        <f>IFERROR(INDEX('المناطق Regions'!$C$2:$C$15,MATCH(B902,'المناطق Regions'!$A$2:$A$15,0)),"")</f>
        <v>Aseer</v>
      </c>
      <c r="J902" s="18" t="str">
        <f>F902&amp;", "&amp;E902&amp;", Saudi Arabia"</f>
        <v>مربة, أبها, Saudi Arabia</v>
      </c>
      <c r="K902" s="18">
        <v>17.896821</v>
      </c>
      <c r="L902" s="18">
        <v>42.387282</v>
      </c>
      <c r="M902" s="18">
        <v>2000</v>
      </c>
      <c r="N902" s="18" t="s">
        <v>562</v>
      </c>
    </row>
    <row r="903" ht="15" customHeight="1" spans="1:14" x14ac:dyDescent="0.25">
      <c r="A903" s="13" t="s">
        <v>2364</v>
      </c>
      <c r="B903" s="13">
        <v>6</v>
      </c>
      <c r="C903" s="14" t="s">
        <v>65</v>
      </c>
      <c r="D903" s="13" t="s">
        <v>333</v>
      </c>
      <c r="E903" s="14" t="s">
        <v>68</v>
      </c>
      <c r="F903" s="14" t="s">
        <v>2365</v>
      </c>
      <c r="G903" s="13" t="s">
        <v>113</v>
      </c>
      <c r="H903" s="18" t="str">
        <f>IFERROR(INDEX('المحافظات Governorates'!$E$2:$E$151,MATCH(D903,'المحافظات Governorates'!$A$2:$A$151,0)),"")</f>
        <v>Abha</v>
      </c>
      <c r="I903" s="18" t="str">
        <f>IFERROR(INDEX('المناطق Regions'!$C$2:$C$15,MATCH(B903,'المناطق Regions'!$A$2:$A$15,0)),"")</f>
        <v>Aseer</v>
      </c>
      <c r="J903" s="18" t="str">
        <f>F903&amp;", "&amp;E903&amp;", Saudi Arabia"</f>
        <v>طبب, أبها, Saudi Arabia</v>
      </c>
      <c r="K903" s="18">
        <v>18.367534</v>
      </c>
      <c r="L903" s="18">
        <v>42.361893</v>
      </c>
      <c r="M903" s="18">
        <v>2000</v>
      </c>
      <c r="N903" s="18" t="s">
        <v>562</v>
      </c>
    </row>
    <row r="904" ht="15" customHeight="1" spans="1:14" x14ac:dyDescent="0.25">
      <c r="A904" s="11" t="s">
        <v>2366</v>
      </c>
      <c r="B904" s="11">
        <v>6</v>
      </c>
      <c r="C904" s="12" t="s">
        <v>65</v>
      </c>
      <c r="D904" s="11" t="s">
        <v>333</v>
      </c>
      <c r="E904" s="12" t="s">
        <v>68</v>
      </c>
      <c r="F904" s="12" t="s">
        <v>2367</v>
      </c>
      <c r="G904" s="11" t="s">
        <v>113</v>
      </c>
      <c r="H904" s="18" t="str">
        <f>IFERROR(INDEX('المحافظات Governorates'!$E$2:$E$151,MATCH(D904,'المحافظات Governorates'!$A$2:$A$151,0)),"")</f>
        <v>Abha</v>
      </c>
      <c r="I904" s="18" t="str">
        <f>IFERROR(INDEX('المناطق Regions'!$C$2:$C$15,MATCH(B904,'المناطق Regions'!$A$2:$A$15,0)),"")</f>
        <v>Aseer</v>
      </c>
      <c r="J904" s="18" t="str">
        <f>F904&amp;", "&amp;E904&amp;", Saudi Arabia"</f>
        <v>بللسمر, أبها, Saudi Arabia</v>
      </c>
      <c r="K904" s="18">
        <v>18.778487</v>
      </c>
      <c r="L904" s="18">
        <v>42.249429</v>
      </c>
      <c r="M904" s="18">
        <v>2000</v>
      </c>
      <c r="N904" s="18" t="s">
        <v>562</v>
      </c>
    </row>
    <row r="905" ht="15" customHeight="1" spans="1:14" x14ac:dyDescent="0.25">
      <c r="A905" s="13" t="s">
        <v>2368</v>
      </c>
      <c r="B905" s="13">
        <v>6</v>
      </c>
      <c r="C905" s="14" t="s">
        <v>65</v>
      </c>
      <c r="D905" s="13" t="s">
        <v>333</v>
      </c>
      <c r="E905" s="14" t="s">
        <v>68</v>
      </c>
      <c r="F905" s="14" t="s">
        <v>2369</v>
      </c>
      <c r="G905" s="13" t="s">
        <v>113</v>
      </c>
      <c r="H905" s="18" t="str">
        <f>IFERROR(INDEX('المحافظات Governorates'!$E$2:$E$151,MATCH(D905,'المحافظات Governorates'!$A$2:$A$151,0)),"")</f>
        <v>Abha</v>
      </c>
      <c r="I905" s="18" t="str">
        <f>IFERROR(INDEX('المناطق Regions'!$C$2:$C$15,MATCH(B905,'المناطق Regions'!$A$2:$A$15,0)),"")</f>
        <v>Aseer</v>
      </c>
      <c r="J905" s="18" t="str">
        <f>F905&amp;", "&amp;E905&amp;", Saudi Arabia"</f>
        <v>الربوعه, أبها, Saudi Arabia</v>
      </c>
      <c r="K905" s="18">
        <v>17.57966</v>
      </c>
      <c r="L905" s="18">
        <v>43.325618</v>
      </c>
      <c r="M905" s="18">
        <v>2000</v>
      </c>
      <c r="N905" s="18" t="s">
        <v>562</v>
      </c>
    </row>
    <row r="906" ht="15" customHeight="1" spans="1:14" x14ac:dyDescent="0.25">
      <c r="A906" s="11" t="s">
        <v>2370</v>
      </c>
      <c r="B906" s="11">
        <v>6</v>
      </c>
      <c r="C906" s="12" t="s">
        <v>65</v>
      </c>
      <c r="D906" s="11" t="s">
        <v>333</v>
      </c>
      <c r="E906" s="12" t="s">
        <v>68</v>
      </c>
      <c r="F906" s="12" t="s">
        <v>2371</v>
      </c>
      <c r="G906" s="11" t="s">
        <v>113</v>
      </c>
      <c r="H906" s="18" t="str">
        <f>IFERROR(INDEX('المحافظات Governorates'!$E$2:$E$151,MATCH(D906,'المحافظات Governorates'!$A$2:$A$151,0)),"")</f>
        <v>Abha</v>
      </c>
      <c r="I906" s="18" t="str">
        <f>IFERROR(INDEX('المناطق Regions'!$C$2:$C$15,MATCH(B906,'المناطق Regions'!$A$2:$A$15,0)),"")</f>
        <v>Aseer</v>
      </c>
      <c r="J906" s="18" t="str">
        <f>F906&amp;", "&amp;E906&amp;", Saudi Arabia"</f>
        <v>تمنية, أبها, Saudi Arabia</v>
      </c>
      <c r="K906" s="18">
        <v>17.998515</v>
      </c>
      <c r="L906" s="18">
        <v>42.770443</v>
      </c>
      <c r="M906" s="18">
        <v>2000</v>
      </c>
      <c r="N906" s="18" t="s">
        <v>562</v>
      </c>
    </row>
    <row r="907" ht="15" customHeight="1" spans="1:14" x14ac:dyDescent="0.25">
      <c r="A907" s="13" t="s">
        <v>2372</v>
      </c>
      <c r="B907" s="13">
        <v>6</v>
      </c>
      <c r="C907" s="14" t="s">
        <v>65</v>
      </c>
      <c r="D907" s="13" t="s">
        <v>333</v>
      </c>
      <c r="E907" s="14" t="s">
        <v>68</v>
      </c>
      <c r="F907" s="14" t="s">
        <v>2373</v>
      </c>
      <c r="G907" s="13" t="s">
        <v>149</v>
      </c>
      <c r="H907" s="18" t="str">
        <f>IFERROR(INDEX('المحافظات Governorates'!$E$2:$E$151,MATCH(D907,'المحافظات Governorates'!$A$2:$A$151,0)),"")</f>
        <v>Abha</v>
      </c>
      <c r="I907" s="18" t="str">
        <f>IFERROR(INDEX('المناطق Regions'!$C$2:$C$15,MATCH(B907,'المناطق Regions'!$A$2:$A$15,0)),"")</f>
        <v>Aseer</v>
      </c>
      <c r="J907" s="18" t="str">
        <f>F907&amp;", "&amp;E907&amp;", Saudi Arabia"</f>
        <v>الماوين, أبها, Saudi Arabia</v>
      </c>
      <c r="K907" s="18">
        <v>18.344493</v>
      </c>
      <c r="L907" s="18">
        <v>42.494776</v>
      </c>
      <c r="M907" s="18">
        <v>159305</v>
      </c>
      <c r="N907" s="18" t="s">
        <v>2361</v>
      </c>
    </row>
    <row r="908" ht="15" customHeight="1" spans="1:14" x14ac:dyDescent="0.25">
      <c r="A908" s="11" t="s">
        <v>2374</v>
      </c>
      <c r="B908" s="11">
        <v>6</v>
      </c>
      <c r="C908" s="12" t="s">
        <v>65</v>
      </c>
      <c r="D908" s="11" t="s">
        <v>333</v>
      </c>
      <c r="E908" s="12" t="s">
        <v>68</v>
      </c>
      <c r="F908" s="12" t="s">
        <v>2375</v>
      </c>
      <c r="G908" s="11" t="s">
        <v>113</v>
      </c>
      <c r="H908" s="18" t="str">
        <f>IFERROR(INDEX('المحافظات Governorates'!$E$2:$E$151,MATCH(D908,'المحافظات Governorates'!$A$2:$A$151,0)),"")</f>
        <v>Abha</v>
      </c>
      <c r="I908" s="18" t="str">
        <f>IFERROR(INDEX('المناطق Regions'!$C$2:$C$15,MATCH(B908,'المناطق Regions'!$A$2:$A$15,0)),"")</f>
        <v>Aseer</v>
      </c>
      <c r="J908" s="18" t="str">
        <f>F908&amp;", "&amp;E908&amp;", Saudi Arabia"</f>
        <v>القحمه, أبها, Saudi Arabia</v>
      </c>
      <c r="K908" s="18">
        <v>18.001658</v>
      </c>
      <c r="L908" s="18">
        <v>41.679927</v>
      </c>
      <c r="M908" s="18">
        <v>2000</v>
      </c>
      <c r="N908" s="18" t="s">
        <v>562</v>
      </c>
    </row>
    <row r="909" ht="15" customHeight="1" spans="1:14" x14ac:dyDescent="0.25">
      <c r="A909" s="13" t="s">
        <v>2376</v>
      </c>
      <c r="B909" s="13">
        <v>6</v>
      </c>
      <c r="C909" s="14" t="s">
        <v>65</v>
      </c>
      <c r="D909" s="13" t="s">
        <v>333</v>
      </c>
      <c r="E909" s="14" t="s">
        <v>68</v>
      </c>
      <c r="F909" s="14" t="s">
        <v>2377</v>
      </c>
      <c r="G909" s="13" t="s">
        <v>113</v>
      </c>
      <c r="H909" s="18" t="str">
        <f>IFERROR(INDEX('المحافظات Governorates'!$E$2:$E$151,MATCH(D909,'المحافظات Governorates'!$A$2:$A$151,0)),"")</f>
        <v>Abha</v>
      </c>
      <c r="I909" s="18" t="str">
        <f>IFERROR(INDEX('المناطق Regions'!$C$2:$C$15,MATCH(B909,'المناطق Regions'!$A$2:$A$15,0)),"")</f>
        <v>Aseer</v>
      </c>
      <c r="J909" s="18" t="str">
        <f>F909&amp;", "&amp;E909&amp;", Saudi Arabia"</f>
        <v>صدر وائلة, أبها, Saudi Arabia</v>
      </c>
      <c r="K909" s="18">
        <v>17.875028</v>
      </c>
      <c r="L909" s="18">
        <v>42.573156</v>
      </c>
      <c r="M909" s="18">
        <v>2000</v>
      </c>
      <c r="N909" s="18" t="s">
        <v>562</v>
      </c>
    </row>
    <row r="910" ht="15" customHeight="1" spans="1:14" x14ac:dyDescent="0.25">
      <c r="A910" s="11" t="s">
        <v>2378</v>
      </c>
      <c r="B910" s="11">
        <v>6</v>
      </c>
      <c r="C910" s="12" t="s">
        <v>65</v>
      </c>
      <c r="D910" s="11" t="s">
        <v>333</v>
      </c>
      <c r="E910" s="12" t="s">
        <v>68</v>
      </c>
      <c r="F910" s="12" t="s">
        <v>2379</v>
      </c>
      <c r="G910" s="11" t="s">
        <v>149</v>
      </c>
      <c r="H910" s="18" t="str">
        <f>IFERROR(INDEX('المحافظات Governorates'!$E$2:$E$151,MATCH(D910,'المحافظات Governorates'!$A$2:$A$151,0)),"")</f>
        <v>Abha</v>
      </c>
      <c r="I910" s="18" t="str">
        <f>IFERROR(INDEX('المناطق Regions'!$C$2:$C$15,MATCH(B910,'المناطق Regions'!$A$2:$A$15,0)),"")</f>
        <v>Aseer</v>
      </c>
      <c r="J910" s="18" t="str">
        <f>F910&amp;", "&amp;E910&amp;", Saudi Arabia"</f>
        <v>بيحان, أبها, Saudi Arabia</v>
      </c>
      <c r="K910" s="18">
        <v>18.344493</v>
      </c>
      <c r="L910" s="18">
        <v>42.494776</v>
      </c>
      <c r="M910" s="18">
        <v>159305</v>
      </c>
      <c r="N910" s="18" t="s">
        <v>2361</v>
      </c>
    </row>
    <row r="911" ht="15" customHeight="1" spans="1:14" x14ac:dyDescent="0.25">
      <c r="A911" s="13" t="s">
        <v>2380</v>
      </c>
      <c r="B911" s="13">
        <v>6</v>
      </c>
      <c r="C911" s="14" t="s">
        <v>65</v>
      </c>
      <c r="D911" s="13" t="s">
        <v>333</v>
      </c>
      <c r="E911" s="14" t="s">
        <v>68</v>
      </c>
      <c r="F911" s="14" t="s">
        <v>2381</v>
      </c>
      <c r="G911" s="13" t="s">
        <v>149</v>
      </c>
      <c r="H911" s="18" t="str">
        <f>IFERROR(INDEX('المحافظات Governorates'!$E$2:$E$151,MATCH(D911,'المحافظات Governorates'!$A$2:$A$151,0)),"")</f>
        <v>Abha</v>
      </c>
      <c r="I911" s="18" t="str">
        <f>IFERROR(INDEX('المناطق Regions'!$C$2:$C$15,MATCH(B911,'المناطق Regions'!$A$2:$A$15,0)),"")</f>
        <v>Aseer</v>
      </c>
      <c r="J911" s="18" t="str">
        <f>F911&amp;", "&amp;E911&amp;", Saudi Arabia"</f>
        <v>الأثب, أبها, Saudi Arabia</v>
      </c>
      <c r="K911" s="18">
        <v>18.711337</v>
      </c>
      <c r="L911" s="18">
        <v>42.49049</v>
      </c>
      <c r="M911" s="18">
        <v>2000</v>
      </c>
      <c r="N911" s="18" t="s">
        <v>562</v>
      </c>
    </row>
    <row r="912" ht="15" customHeight="1" spans="1:14" x14ac:dyDescent="0.25">
      <c r="A912" s="11" t="s">
        <v>2382</v>
      </c>
      <c r="B912" s="11">
        <v>6</v>
      </c>
      <c r="C912" s="12" t="s">
        <v>65</v>
      </c>
      <c r="D912" s="11" t="s">
        <v>333</v>
      </c>
      <c r="E912" s="12" t="s">
        <v>68</v>
      </c>
      <c r="F912" s="12" t="s">
        <v>2383</v>
      </c>
      <c r="G912" s="11" t="s">
        <v>149</v>
      </c>
      <c r="H912" s="18" t="str">
        <f>IFERROR(INDEX('المحافظات Governorates'!$E$2:$E$151,MATCH(D912,'المحافظات Governorates'!$A$2:$A$151,0)),"")</f>
        <v>Abha</v>
      </c>
      <c r="I912" s="18" t="str">
        <f>IFERROR(INDEX('المناطق Regions'!$C$2:$C$15,MATCH(B912,'المناطق Regions'!$A$2:$A$15,0)),"")</f>
        <v>Aseer</v>
      </c>
      <c r="J912" s="18" t="str">
        <f>F912&amp;", "&amp;E912&amp;", Saudi Arabia"</f>
        <v>حوراء بللسمر, أبها, Saudi Arabia</v>
      </c>
      <c r="K912" s="18">
        <v>18.894392</v>
      </c>
      <c r="L912" s="18">
        <v>42.304963</v>
      </c>
      <c r="M912" s="18">
        <v>2000</v>
      </c>
      <c r="N912" s="18" t="s">
        <v>562</v>
      </c>
    </row>
    <row r="913" ht="15" customHeight="1" spans="1:14" x14ac:dyDescent="0.25">
      <c r="A913" s="13" t="s">
        <v>2384</v>
      </c>
      <c r="B913" s="13">
        <v>6</v>
      </c>
      <c r="C913" s="14" t="s">
        <v>65</v>
      </c>
      <c r="D913" s="13" t="s">
        <v>333</v>
      </c>
      <c r="E913" s="14" t="s">
        <v>68</v>
      </c>
      <c r="F913" s="14" t="s">
        <v>2385</v>
      </c>
      <c r="G913" s="13" t="s">
        <v>149</v>
      </c>
      <c r="H913" s="18" t="str">
        <f>IFERROR(INDEX('المحافظات Governorates'!$E$2:$E$151,MATCH(D913,'المحافظات Governorates'!$A$2:$A$151,0)),"")</f>
        <v>Abha</v>
      </c>
      <c r="I913" s="18" t="str">
        <f>IFERROR(INDEX('المناطق Regions'!$C$2:$C$15,MATCH(B913,'المناطق Regions'!$A$2:$A$15,0)),"")</f>
        <v>Aseer</v>
      </c>
      <c r="J913" s="18" t="str">
        <f>F913&amp;", "&amp;E913&amp;", Saudi Arabia"</f>
        <v>الجهيفة, أبها, Saudi Arabia</v>
      </c>
      <c r="K913" s="18">
        <v>17.926326</v>
      </c>
      <c r="L913" s="18">
        <v>42.709533</v>
      </c>
      <c r="M913" s="18">
        <v>2000</v>
      </c>
      <c r="N913" s="18" t="s">
        <v>562</v>
      </c>
    </row>
    <row r="914" ht="15" customHeight="1" spans="1:14" x14ac:dyDescent="0.25">
      <c r="A914" s="11" t="s">
        <v>2386</v>
      </c>
      <c r="B914" s="11">
        <v>6</v>
      </c>
      <c r="C914" s="12" t="s">
        <v>65</v>
      </c>
      <c r="D914" s="11" t="s">
        <v>333</v>
      </c>
      <c r="E914" s="12" t="s">
        <v>68</v>
      </c>
      <c r="F914" s="12" t="s">
        <v>2387</v>
      </c>
      <c r="G914" s="11" t="s">
        <v>149</v>
      </c>
      <c r="H914" s="18" t="str">
        <f>IFERROR(INDEX('المحافظات Governorates'!$E$2:$E$151,MATCH(D914,'المحافظات Governorates'!$A$2:$A$151,0)),"")</f>
        <v>Abha</v>
      </c>
      <c r="I914" s="18" t="str">
        <f>IFERROR(INDEX('المناطق Regions'!$C$2:$C$15,MATCH(B914,'المناطق Regions'!$A$2:$A$15,0)),"")</f>
        <v>Aseer</v>
      </c>
      <c r="J914" s="18" t="str">
        <f>F914&amp;", "&amp;E914&amp;", Saudi Arabia"</f>
        <v>تضراع, أبها, Saudi Arabia</v>
      </c>
      <c r="K914" s="18">
        <v>17.910298</v>
      </c>
      <c r="L914" s="18">
        <v>42.643219</v>
      </c>
      <c r="M914" s="18">
        <v>2000</v>
      </c>
      <c r="N914" s="18" t="s">
        <v>562</v>
      </c>
    </row>
    <row r="915" ht="15" customHeight="1" spans="1:14" x14ac:dyDescent="0.25">
      <c r="A915" s="13" t="s">
        <v>2388</v>
      </c>
      <c r="B915" s="13">
        <v>6</v>
      </c>
      <c r="C915" s="14" t="s">
        <v>65</v>
      </c>
      <c r="D915" s="13" t="s">
        <v>333</v>
      </c>
      <c r="E915" s="14" t="s">
        <v>68</v>
      </c>
      <c r="F915" s="14" t="s">
        <v>2389</v>
      </c>
      <c r="G915" s="13" t="s">
        <v>113</v>
      </c>
      <c r="H915" s="18" t="str">
        <f>IFERROR(INDEX('المحافظات Governorates'!$E$2:$E$151,MATCH(D915,'المحافظات Governorates'!$A$2:$A$151,0)),"")</f>
        <v>Abha</v>
      </c>
      <c r="I915" s="18" t="str">
        <f>IFERROR(INDEX('المناطق Regions'!$C$2:$C$15,MATCH(B915,'المناطق Regions'!$A$2:$A$15,0)),"")</f>
        <v>Aseer</v>
      </c>
      <c r="J915" s="18" t="str">
        <f>F915&amp;", "&amp;E915&amp;", Saudi Arabia"</f>
        <v>ردوم, أبها, Saudi Arabia</v>
      </c>
      <c r="K915" s="18">
        <v>17.786807</v>
      </c>
      <c r="L915" s="18">
        <v>42.829601</v>
      </c>
      <c r="M915" s="18">
        <v>2000</v>
      </c>
      <c r="N915" s="18" t="s">
        <v>562</v>
      </c>
    </row>
    <row r="916" ht="15" customHeight="1" spans="1:14" x14ac:dyDescent="0.25">
      <c r="A916" s="11" t="s">
        <v>2390</v>
      </c>
      <c r="B916" s="11">
        <v>6</v>
      </c>
      <c r="C916" s="12" t="s">
        <v>65</v>
      </c>
      <c r="D916" s="11" t="s">
        <v>333</v>
      </c>
      <c r="E916" s="12" t="s">
        <v>68</v>
      </c>
      <c r="F916" s="12" t="s">
        <v>2391</v>
      </c>
      <c r="G916" s="11" t="s">
        <v>113</v>
      </c>
      <c r="H916" s="18" t="str">
        <f>IFERROR(INDEX('المحافظات Governorates'!$E$2:$E$151,MATCH(D916,'المحافظات Governorates'!$A$2:$A$151,0)),"")</f>
        <v>Abha</v>
      </c>
      <c r="I916" s="18" t="str">
        <f>IFERROR(INDEX('المناطق Regions'!$C$2:$C$15,MATCH(B916,'المناطق Regions'!$A$2:$A$15,0)),"")</f>
        <v>Aseer</v>
      </c>
      <c r="J916" s="18" t="str">
        <f>F916&amp;", "&amp;E916&amp;", Saudi Arabia"</f>
        <v>العرين, أبها, Saudi Arabia</v>
      </c>
      <c r="K916" s="18">
        <v>18.237566</v>
      </c>
      <c r="L916" s="18">
        <v>42.533055</v>
      </c>
      <c r="M916" s="18">
        <v>2000</v>
      </c>
      <c r="N916" s="18" t="s">
        <v>562</v>
      </c>
    </row>
    <row r="917" ht="15" customHeight="1" spans="1:14" x14ac:dyDescent="0.25">
      <c r="A917" s="13" t="s">
        <v>2392</v>
      </c>
      <c r="B917" s="13">
        <v>6</v>
      </c>
      <c r="C917" s="14" t="s">
        <v>65</v>
      </c>
      <c r="D917" s="13" t="s">
        <v>335</v>
      </c>
      <c r="E917" s="14" t="s">
        <v>336</v>
      </c>
      <c r="F917" s="14" t="s">
        <v>2393</v>
      </c>
      <c r="G917" s="13" t="s">
        <v>113</v>
      </c>
      <c r="H917" s="18" t="str">
        <f>IFERROR(INDEX('المحافظات Governorates'!$E$2:$E$151,MATCH(D917,'المحافظات Governorates'!$A$2:$A$151,0)),"")</f>
        <v>Khamis Mushait</v>
      </c>
      <c r="I917" s="18" t="str">
        <f>IFERROR(INDEX('المناطق Regions'!$C$2:$C$15,MATCH(B917,'المناطق Regions'!$A$2:$A$15,0)),"")</f>
        <v>Aseer</v>
      </c>
      <c r="J917" s="18" t="str">
        <f>F917&amp;", "&amp;E917&amp;", Saudi Arabia"</f>
        <v>تندحه, خميس مشيط, Saudi Arabia</v>
      </c>
      <c r="K917" s="18">
        <v>18.658064</v>
      </c>
      <c r="L917" s="18">
        <v>42.851253</v>
      </c>
      <c r="M917" s="18">
        <v>40000</v>
      </c>
      <c r="N917" s="18" t="s">
        <v>1130</v>
      </c>
    </row>
    <row r="918" ht="15" customHeight="1" spans="1:14" x14ac:dyDescent="0.25">
      <c r="A918" s="11" t="s">
        <v>2394</v>
      </c>
      <c r="B918" s="11">
        <v>6</v>
      </c>
      <c r="C918" s="12" t="s">
        <v>65</v>
      </c>
      <c r="D918" s="11" t="s">
        <v>335</v>
      </c>
      <c r="E918" s="12" t="s">
        <v>336</v>
      </c>
      <c r="F918" s="12" t="s">
        <v>2395</v>
      </c>
      <c r="G918" s="11" t="s">
        <v>113</v>
      </c>
      <c r="H918" s="18" t="str">
        <f>IFERROR(INDEX('المحافظات Governorates'!$E$2:$E$151,MATCH(D918,'المحافظات Governorates'!$A$2:$A$151,0)),"")</f>
        <v>Khamis Mushait</v>
      </c>
      <c r="I918" s="18" t="str">
        <f>IFERROR(INDEX('المناطق Regions'!$C$2:$C$15,MATCH(B918,'المناطق Regions'!$A$2:$A$15,0)),"")</f>
        <v>Aseer</v>
      </c>
      <c r="J918" s="18" t="str">
        <f>F918&amp;", "&amp;E918&amp;", Saudi Arabia"</f>
        <v>وادى بن هشبل, خميس مشيط, Saudi Arabia</v>
      </c>
      <c r="K918" s="18">
        <v>18.561616</v>
      </c>
      <c r="L918" s="18">
        <v>42.698363</v>
      </c>
      <c r="M918" s="18">
        <v>2000</v>
      </c>
      <c r="N918" s="18" t="s">
        <v>642</v>
      </c>
    </row>
    <row r="919" ht="15" customHeight="1" spans="1:14" x14ac:dyDescent="0.25">
      <c r="A919" s="13" t="s">
        <v>2396</v>
      </c>
      <c r="B919" s="13">
        <v>6</v>
      </c>
      <c r="C919" s="14" t="s">
        <v>65</v>
      </c>
      <c r="D919" s="13" t="s">
        <v>335</v>
      </c>
      <c r="E919" s="14" t="s">
        <v>336</v>
      </c>
      <c r="F919" s="14" t="s">
        <v>2397</v>
      </c>
      <c r="G919" s="13" t="s">
        <v>113</v>
      </c>
      <c r="H919" s="18" t="str">
        <f>IFERROR(INDEX('المحافظات Governorates'!$E$2:$E$151,MATCH(D919,'المحافظات Governorates'!$A$2:$A$151,0)),"")</f>
        <v>Khamis Mushait</v>
      </c>
      <c r="I919" s="18" t="str">
        <f>IFERROR(INDEX('المناطق Regions'!$C$2:$C$15,MATCH(B919,'المناطق Regions'!$A$2:$A$15,0)),"")</f>
        <v>Aseer</v>
      </c>
      <c r="J919" s="18" t="str">
        <f>F919&amp;", "&amp;E919&amp;", Saudi Arabia"</f>
        <v>يعرى, خميس مشيط, Saudi Arabia</v>
      </c>
      <c r="K919" s="18">
        <v>18.698868</v>
      </c>
      <c r="L919" s="18">
        <v>42.982709</v>
      </c>
      <c r="M919" s="18">
        <v>2000</v>
      </c>
      <c r="N919" s="18" t="s">
        <v>642</v>
      </c>
    </row>
    <row r="920" ht="15" customHeight="1" spans="1:14" x14ac:dyDescent="0.25">
      <c r="A920" s="11" t="s">
        <v>2398</v>
      </c>
      <c r="B920" s="11">
        <v>6</v>
      </c>
      <c r="C920" s="12" t="s">
        <v>65</v>
      </c>
      <c r="D920" s="11" t="s">
        <v>335</v>
      </c>
      <c r="E920" s="12" t="s">
        <v>336</v>
      </c>
      <c r="F920" s="12" t="s">
        <v>2399</v>
      </c>
      <c r="G920" s="11" t="s">
        <v>113</v>
      </c>
      <c r="H920" s="18" t="str">
        <f>IFERROR(INDEX('المحافظات Governorates'!$E$2:$E$151,MATCH(D920,'المحافظات Governorates'!$A$2:$A$151,0)),"")</f>
        <v>Khamis Mushait</v>
      </c>
      <c r="I920" s="18" t="str">
        <f>IFERROR(INDEX('المناطق Regions'!$C$2:$C$15,MATCH(B920,'المناطق Regions'!$A$2:$A$15,0)),"")</f>
        <v>Aseer</v>
      </c>
      <c r="J920" s="18" t="str">
        <f>F920&amp;", "&amp;E920&amp;", Saudi Arabia"</f>
        <v>خيبر الجنوب, خميس مشيط, Saudi Arabia</v>
      </c>
      <c r="K920" s="18">
        <v>18.791944</v>
      </c>
      <c r="L920" s="18">
        <v>42.873611</v>
      </c>
      <c r="M920" s="18">
        <v>2000</v>
      </c>
      <c r="N920" s="18" t="s">
        <v>642</v>
      </c>
    </row>
    <row r="921" ht="15" customHeight="1" spans="1:14" x14ac:dyDescent="0.25">
      <c r="A921" s="13" t="s">
        <v>2400</v>
      </c>
      <c r="B921" s="13">
        <v>6</v>
      </c>
      <c r="C921" s="14" t="s">
        <v>65</v>
      </c>
      <c r="D921" s="13" t="s">
        <v>335</v>
      </c>
      <c r="E921" s="14" t="s">
        <v>336</v>
      </c>
      <c r="F921" s="14" t="s">
        <v>1446</v>
      </c>
      <c r="G921" s="13" t="s">
        <v>149</v>
      </c>
      <c r="H921" s="18" t="str">
        <f>IFERROR(INDEX('المحافظات Governorates'!$E$2:$E$151,MATCH(D921,'المحافظات Governorates'!$A$2:$A$151,0)),"")</f>
        <v>Khamis Mushait</v>
      </c>
      <c r="I921" s="18" t="str">
        <f>IFERROR(INDEX('المناطق Regions'!$C$2:$C$15,MATCH(B921,'المناطق Regions'!$A$2:$A$15,0)),"")</f>
        <v>Aseer</v>
      </c>
      <c r="J921" s="18" t="str">
        <f>F921&amp;", "&amp;E921&amp;", Saudi Arabia"</f>
        <v>الحفاير, خميس مشيط, Saudi Arabia</v>
      </c>
      <c r="K921" s="18">
        <v>18.658064</v>
      </c>
      <c r="L921" s="18">
        <v>42.851253</v>
      </c>
      <c r="M921" s="18">
        <v>40000</v>
      </c>
      <c r="N921" s="18" t="s">
        <v>1130</v>
      </c>
    </row>
    <row r="922" ht="15" customHeight="1" spans="1:14" x14ac:dyDescent="0.25">
      <c r="A922" s="11" t="s">
        <v>2401</v>
      </c>
      <c r="B922" s="11">
        <v>6</v>
      </c>
      <c r="C922" s="12" t="s">
        <v>65</v>
      </c>
      <c r="D922" s="11" t="s">
        <v>335</v>
      </c>
      <c r="E922" s="12" t="s">
        <v>336</v>
      </c>
      <c r="F922" s="12" t="s">
        <v>2402</v>
      </c>
      <c r="G922" s="11" t="s">
        <v>113</v>
      </c>
      <c r="H922" s="18" t="str">
        <f>IFERROR(INDEX('المحافظات Governorates'!$E$2:$E$151,MATCH(D922,'المحافظات Governorates'!$A$2:$A$151,0)),"")</f>
        <v>Khamis Mushait</v>
      </c>
      <c r="I922" s="18" t="str">
        <f>IFERROR(INDEX('المناطق Regions'!$C$2:$C$15,MATCH(B922,'المناطق Regions'!$A$2:$A$15,0)),"")</f>
        <v>Aseer</v>
      </c>
      <c r="J922" s="18" t="str">
        <f>F922&amp;", "&amp;E922&amp;", Saudi Arabia"</f>
        <v>الحيمة, خميس مشيط, Saudi Arabia</v>
      </c>
      <c r="K922" s="18">
        <v>18.697466</v>
      </c>
      <c r="L922" s="18">
        <v>42.527231</v>
      </c>
      <c r="M922" s="18">
        <v>2000</v>
      </c>
      <c r="N922" s="18" t="s">
        <v>642</v>
      </c>
    </row>
    <row r="923" ht="15" customHeight="1" spans="1:14" x14ac:dyDescent="0.25">
      <c r="A923" s="13" t="s">
        <v>2403</v>
      </c>
      <c r="B923" s="13">
        <v>6</v>
      </c>
      <c r="C923" s="14" t="s">
        <v>65</v>
      </c>
      <c r="D923" s="13" t="s">
        <v>335</v>
      </c>
      <c r="E923" s="14" t="s">
        <v>336</v>
      </c>
      <c r="F923" s="14" t="s">
        <v>2404</v>
      </c>
      <c r="G923" s="13" t="s">
        <v>149</v>
      </c>
      <c r="H923" s="18" t="str">
        <f>IFERROR(INDEX('المحافظات Governorates'!$E$2:$E$151,MATCH(D923,'المحافظات Governorates'!$A$2:$A$151,0)),"")</f>
        <v>Khamis Mushait</v>
      </c>
      <c r="I923" s="18" t="str">
        <f>IFERROR(INDEX('المناطق Regions'!$C$2:$C$15,MATCH(B923,'المناطق Regions'!$A$2:$A$15,0)),"")</f>
        <v>Aseer</v>
      </c>
      <c r="J923" s="18" t="str">
        <f>F923&amp;", "&amp;E923&amp;", Saudi Arabia"</f>
        <v>الصفية, خميس مشيط, Saudi Arabia</v>
      </c>
      <c r="K923" s="18">
        <v>18.658064</v>
      </c>
      <c r="L923" s="18">
        <v>42.851253</v>
      </c>
      <c r="M923" s="18">
        <v>40000</v>
      </c>
      <c r="N923" s="18" t="s">
        <v>1130</v>
      </c>
    </row>
    <row r="924" ht="15" customHeight="1" spans="1:14" x14ac:dyDescent="0.25">
      <c r="A924" s="11" t="s">
        <v>2405</v>
      </c>
      <c r="B924" s="11">
        <v>6</v>
      </c>
      <c r="C924" s="12" t="s">
        <v>65</v>
      </c>
      <c r="D924" s="11" t="s">
        <v>335</v>
      </c>
      <c r="E924" s="12" t="s">
        <v>336</v>
      </c>
      <c r="F924" s="12" t="s">
        <v>2406</v>
      </c>
      <c r="G924" s="11" t="s">
        <v>149</v>
      </c>
      <c r="H924" s="18" t="str">
        <f>IFERROR(INDEX('المحافظات Governorates'!$E$2:$E$151,MATCH(D924,'المحافظات Governorates'!$A$2:$A$151,0)),"")</f>
        <v>Khamis Mushait</v>
      </c>
      <c r="I924" s="18" t="str">
        <f>IFERROR(INDEX('المناطق Regions'!$C$2:$C$15,MATCH(B924,'المناطق Regions'!$A$2:$A$15,0)),"")</f>
        <v>Aseer</v>
      </c>
      <c r="J924" s="18" t="str">
        <f>F924&amp;", "&amp;E924&amp;", Saudi Arabia"</f>
        <v>الجزيرة, خميس مشيط, Saudi Arabia</v>
      </c>
      <c r="K924" s="18">
        <v>18.411205</v>
      </c>
      <c r="L924" s="18">
        <v>42.668653</v>
      </c>
      <c r="M924" s="18">
        <v>2000</v>
      </c>
      <c r="N924" s="18" t="s">
        <v>642</v>
      </c>
    </row>
    <row r="925" ht="15" customHeight="1" spans="1:14" x14ac:dyDescent="0.25">
      <c r="A925" s="13" t="s">
        <v>2407</v>
      </c>
      <c r="B925" s="13">
        <v>6</v>
      </c>
      <c r="C925" s="14" t="s">
        <v>65</v>
      </c>
      <c r="D925" s="13" t="s">
        <v>338</v>
      </c>
      <c r="E925" s="14" t="s">
        <v>339</v>
      </c>
      <c r="F925" s="14" t="s">
        <v>2408</v>
      </c>
      <c r="G925" s="13" t="s">
        <v>113</v>
      </c>
      <c r="H925" s="18" t="str">
        <f>IFERROR(INDEX('المحافظات Governorates'!$E$2:$E$151,MATCH(D925,'المحافظات Governorates'!$A$2:$A$151,0)),"")</f>
        <v>Bishah</v>
      </c>
      <c r="I925" s="18" t="str">
        <f>IFERROR(INDEX('المناطق Regions'!$C$2:$C$15,MATCH(B925,'المناطق Regions'!$A$2:$A$15,0)),"")</f>
        <v>Aseer</v>
      </c>
      <c r="J925" s="18" t="str">
        <f>F925&amp;", "&amp;E925&amp;", Saudi Arabia"</f>
        <v>النقيع, بيشه, Saudi Arabia</v>
      </c>
      <c r="K925" s="18">
        <v>19.839219</v>
      </c>
      <c r="L925" s="18">
        <v>42.570645</v>
      </c>
      <c r="M925" s="18">
        <v>109924</v>
      </c>
      <c r="N925" s="18" t="s">
        <v>2409</v>
      </c>
    </row>
    <row r="926" ht="15" customHeight="1" spans="1:14" x14ac:dyDescent="0.25">
      <c r="A926" s="11" t="s">
        <v>2410</v>
      </c>
      <c r="B926" s="11">
        <v>6</v>
      </c>
      <c r="C926" s="12" t="s">
        <v>65</v>
      </c>
      <c r="D926" s="11" t="s">
        <v>338</v>
      </c>
      <c r="E926" s="12" t="s">
        <v>339</v>
      </c>
      <c r="F926" s="12" t="s">
        <v>2411</v>
      </c>
      <c r="G926" s="11" t="s">
        <v>113</v>
      </c>
      <c r="H926" s="18" t="str">
        <f>IFERROR(INDEX('المحافظات Governorates'!$E$2:$E$151,MATCH(D926,'المحافظات Governorates'!$A$2:$A$151,0)),"")</f>
        <v>Bishah</v>
      </c>
      <c r="I926" s="18" t="str">
        <f>IFERROR(INDEX('المناطق Regions'!$C$2:$C$15,MATCH(B926,'المناطق Regions'!$A$2:$A$15,0)),"")</f>
        <v>Aseer</v>
      </c>
      <c r="J926" s="18" t="str">
        <f>F926&amp;", "&amp;E926&amp;", Saudi Arabia"</f>
        <v>الحازمى, بيشه, Saudi Arabia</v>
      </c>
      <c r="K926" s="18">
        <v>19.861697</v>
      </c>
      <c r="L926" s="18">
        <v>42.491483</v>
      </c>
      <c r="M926" s="18">
        <v>2000</v>
      </c>
      <c r="N926" s="18" t="s">
        <v>562</v>
      </c>
    </row>
    <row r="927" ht="15" customHeight="1" spans="1:14" x14ac:dyDescent="0.25">
      <c r="A927" s="13" t="s">
        <v>2412</v>
      </c>
      <c r="B927" s="13">
        <v>6</v>
      </c>
      <c r="C927" s="14" t="s">
        <v>65</v>
      </c>
      <c r="D927" s="13" t="s">
        <v>338</v>
      </c>
      <c r="E927" s="14" t="s">
        <v>339</v>
      </c>
      <c r="F927" s="14" t="s">
        <v>2413</v>
      </c>
      <c r="G927" s="13" t="s">
        <v>113</v>
      </c>
      <c r="H927" s="18" t="str">
        <f>IFERROR(INDEX('المحافظات Governorates'!$E$2:$E$151,MATCH(D927,'المحافظات Governorates'!$A$2:$A$151,0)),"")</f>
        <v>Bishah</v>
      </c>
      <c r="I927" s="18" t="str">
        <f>IFERROR(INDEX('المناطق Regions'!$C$2:$C$15,MATCH(B927,'المناطق Regions'!$A$2:$A$15,0)),"")</f>
        <v>Aseer</v>
      </c>
      <c r="J927" s="18" t="str">
        <f>F927&amp;", "&amp;E927&amp;", Saudi Arabia"</f>
        <v>صمخ, بيشه, Saudi Arabia</v>
      </c>
      <c r="K927" s="18">
        <v>19.36695</v>
      </c>
      <c r="L927" s="18">
        <v>42.803513</v>
      </c>
      <c r="M927" s="18">
        <v>2000</v>
      </c>
      <c r="N927" s="18" t="s">
        <v>562</v>
      </c>
    </row>
    <row r="928" ht="15" customHeight="1" spans="1:14" x14ac:dyDescent="0.25">
      <c r="A928" s="11" t="s">
        <v>2414</v>
      </c>
      <c r="B928" s="11">
        <v>6</v>
      </c>
      <c r="C928" s="12" t="s">
        <v>65</v>
      </c>
      <c r="D928" s="11" t="s">
        <v>338</v>
      </c>
      <c r="E928" s="12" t="s">
        <v>339</v>
      </c>
      <c r="F928" s="12" t="s">
        <v>2415</v>
      </c>
      <c r="G928" s="11" t="s">
        <v>113</v>
      </c>
      <c r="H928" s="18" t="str">
        <f>IFERROR(INDEX('المحافظات Governorates'!$E$2:$E$151,MATCH(D928,'المحافظات Governorates'!$A$2:$A$151,0)),"")</f>
        <v>Bishah</v>
      </c>
      <c r="I928" s="18" t="str">
        <f>IFERROR(INDEX('المناطق Regions'!$C$2:$C$15,MATCH(B928,'المناطق Regions'!$A$2:$A$15,0)),"")</f>
        <v>Aseer</v>
      </c>
      <c r="J928" s="18" t="str">
        <f>F928&amp;", "&amp;E928&amp;", Saudi Arabia"</f>
        <v>الثنيه, بيشه, Saudi Arabia</v>
      </c>
      <c r="K928" s="18">
        <v>20.036938</v>
      </c>
      <c r="L928" s="18">
        <v>42.304492</v>
      </c>
      <c r="M928" s="18">
        <v>2000</v>
      </c>
      <c r="N928" s="18" t="s">
        <v>562</v>
      </c>
    </row>
    <row r="929" ht="15" customHeight="1" spans="1:14" x14ac:dyDescent="0.25">
      <c r="A929" s="13" t="s">
        <v>2416</v>
      </c>
      <c r="B929" s="13">
        <v>6</v>
      </c>
      <c r="C929" s="14" t="s">
        <v>65</v>
      </c>
      <c r="D929" s="13" t="s">
        <v>338</v>
      </c>
      <c r="E929" s="14" t="s">
        <v>339</v>
      </c>
      <c r="F929" s="14" t="s">
        <v>2417</v>
      </c>
      <c r="G929" s="13" t="s">
        <v>113</v>
      </c>
      <c r="H929" s="18" t="str">
        <f>IFERROR(INDEX('المحافظات Governorates'!$E$2:$E$151,MATCH(D929,'المحافظات Governorates'!$A$2:$A$151,0)),"")</f>
        <v>Bishah</v>
      </c>
      <c r="I929" s="18" t="str">
        <f>IFERROR(INDEX('المناطق Regions'!$C$2:$C$15,MATCH(B929,'المناطق Regions'!$A$2:$A$15,0)),"")</f>
        <v>Aseer</v>
      </c>
      <c r="J929" s="18" t="str">
        <f>F929&amp;", "&amp;E929&amp;", Saudi Arabia"</f>
        <v>تباله, بيشه, Saudi Arabia</v>
      </c>
      <c r="K929" s="18">
        <v>20.060103</v>
      </c>
      <c r="L929" s="18">
        <v>42.516355</v>
      </c>
      <c r="M929" s="18">
        <v>2000</v>
      </c>
      <c r="N929" s="18" t="s">
        <v>562</v>
      </c>
    </row>
    <row r="930" ht="15" customHeight="1" spans="1:14" x14ac:dyDescent="0.25">
      <c r="A930" s="11" t="s">
        <v>2418</v>
      </c>
      <c r="B930" s="11">
        <v>6</v>
      </c>
      <c r="C930" s="12" t="s">
        <v>65</v>
      </c>
      <c r="D930" s="11" t="s">
        <v>338</v>
      </c>
      <c r="E930" s="12" t="s">
        <v>339</v>
      </c>
      <c r="F930" s="12" t="s">
        <v>2419</v>
      </c>
      <c r="G930" s="11" t="s">
        <v>113</v>
      </c>
      <c r="H930" s="18" t="str">
        <f>IFERROR(INDEX('المحافظات Governorates'!$E$2:$E$151,MATCH(D930,'المحافظات Governorates'!$A$2:$A$151,0)),"")</f>
        <v>Bishah</v>
      </c>
      <c r="I930" s="18" t="str">
        <f>IFERROR(INDEX('المناطق Regions'!$C$2:$C$15,MATCH(B930,'المناطق Regions'!$A$2:$A$15,0)),"")</f>
        <v>Aseer</v>
      </c>
      <c r="J930" s="18" t="str">
        <f>F930&amp;", "&amp;E930&amp;", Saudi Arabia"</f>
        <v>الجعبة, بيشه, Saudi Arabia</v>
      </c>
      <c r="K930" s="18">
        <v>19.839219</v>
      </c>
      <c r="L930" s="18">
        <v>42.570645</v>
      </c>
      <c r="M930" s="18">
        <v>109924</v>
      </c>
      <c r="N930" s="18" t="s">
        <v>2409</v>
      </c>
    </row>
    <row r="931" ht="15" customHeight="1" spans="1:14" x14ac:dyDescent="0.25">
      <c r="A931" s="13" t="s">
        <v>2420</v>
      </c>
      <c r="B931" s="13">
        <v>6</v>
      </c>
      <c r="C931" s="14" t="s">
        <v>65</v>
      </c>
      <c r="D931" s="13" t="s">
        <v>338</v>
      </c>
      <c r="E931" s="14" t="s">
        <v>339</v>
      </c>
      <c r="F931" s="14" t="s">
        <v>2421</v>
      </c>
      <c r="G931" s="13" t="s">
        <v>113</v>
      </c>
      <c r="H931" s="18" t="str">
        <f>IFERROR(INDEX('المحافظات Governorates'!$E$2:$E$151,MATCH(D931,'المحافظات Governorates'!$A$2:$A$151,0)),"")</f>
        <v>Bishah</v>
      </c>
      <c r="I931" s="18" t="str">
        <f>IFERROR(INDEX('المناطق Regions'!$C$2:$C$15,MATCH(B931,'المناطق Regions'!$A$2:$A$15,0)),"")</f>
        <v>Aseer</v>
      </c>
      <c r="J931" s="18" t="str">
        <f>F931&amp;", "&amp;E931&amp;", Saudi Arabia"</f>
        <v>وادي ترج, بيشه, Saudi Arabia</v>
      </c>
      <c r="K931" s="18">
        <v>19.839219</v>
      </c>
      <c r="L931" s="18">
        <v>42.570645</v>
      </c>
      <c r="M931" s="18">
        <v>109924</v>
      </c>
      <c r="N931" s="18" t="s">
        <v>2409</v>
      </c>
    </row>
    <row r="932" ht="15" customHeight="1" spans="1:14" x14ac:dyDescent="0.25">
      <c r="A932" s="11" t="s">
        <v>2422</v>
      </c>
      <c r="B932" s="11">
        <v>6</v>
      </c>
      <c r="C932" s="12" t="s">
        <v>65</v>
      </c>
      <c r="D932" s="11" t="s">
        <v>338</v>
      </c>
      <c r="E932" s="12" t="s">
        <v>339</v>
      </c>
      <c r="F932" s="12" t="s">
        <v>2423</v>
      </c>
      <c r="G932" s="11" t="s">
        <v>113</v>
      </c>
      <c r="H932" s="18" t="str">
        <f>IFERROR(INDEX('المحافظات Governorates'!$E$2:$E$151,MATCH(D932,'المحافظات Governorates'!$A$2:$A$151,0)),"")</f>
        <v>Bishah</v>
      </c>
      <c r="I932" s="18" t="str">
        <f>IFERROR(INDEX('المناطق Regions'!$C$2:$C$15,MATCH(B932,'المناطق Regions'!$A$2:$A$15,0)),"")</f>
        <v>Aseer</v>
      </c>
      <c r="J932" s="18" t="str">
        <f>F932&amp;", "&amp;E932&amp;", Saudi Arabia"</f>
        <v>الجنينه, بيشه, Saudi Arabia</v>
      </c>
      <c r="K932" s="18">
        <v>20.285867</v>
      </c>
      <c r="L932" s="18">
        <v>42.80886</v>
      </c>
      <c r="M932" s="18">
        <v>2000</v>
      </c>
      <c r="N932" s="18" t="s">
        <v>562</v>
      </c>
    </row>
    <row r="933" ht="15" customHeight="1" spans="1:14" x14ac:dyDescent="0.25">
      <c r="A933" s="13" t="s">
        <v>2424</v>
      </c>
      <c r="B933" s="13">
        <v>6</v>
      </c>
      <c r="C933" s="14" t="s">
        <v>65</v>
      </c>
      <c r="D933" s="13" t="s">
        <v>338</v>
      </c>
      <c r="E933" s="14" t="s">
        <v>339</v>
      </c>
      <c r="F933" s="14" t="s">
        <v>2425</v>
      </c>
      <c r="G933" s="13" t="s">
        <v>149</v>
      </c>
      <c r="H933" s="18" t="str">
        <f>IFERROR(INDEX('المحافظات Governorates'!$E$2:$E$151,MATCH(D933,'المحافظات Governorates'!$A$2:$A$151,0)),"")</f>
        <v>Bishah</v>
      </c>
      <c r="I933" s="18" t="str">
        <f>IFERROR(INDEX('المناطق Regions'!$C$2:$C$15,MATCH(B933,'المناطق Regions'!$A$2:$A$15,0)),"")</f>
        <v>Aseer</v>
      </c>
      <c r="J933" s="18" t="str">
        <f>F933&amp;", "&amp;E933&amp;", Saudi Arabia"</f>
        <v>العبلاء, بيشه, Saudi Arabia</v>
      </c>
      <c r="K933" s="18">
        <v>20.16482</v>
      </c>
      <c r="L933" s="18">
        <v>41.916921</v>
      </c>
      <c r="M933" s="18">
        <v>2000</v>
      </c>
      <c r="N933" s="18" t="s">
        <v>562</v>
      </c>
    </row>
    <row r="934" ht="15" customHeight="1" spans="1:14" x14ac:dyDescent="0.25">
      <c r="A934" s="11" t="s">
        <v>2426</v>
      </c>
      <c r="B934" s="11">
        <v>6</v>
      </c>
      <c r="C934" s="12" t="s">
        <v>65</v>
      </c>
      <c r="D934" s="11" t="s">
        <v>338</v>
      </c>
      <c r="E934" s="12" t="s">
        <v>339</v>
      </c>
      <c r="F934" s="12" t="s">
        <v>2427</v>
      </c>
      <c r="G934" s="11" t="s">
        <v>113</v>
      </c>
      <c r="H934" s="18" t="str">
        <f>IFERROR(INDEX('المحافظات Governorates'!$E$2:$E$151,MATCH(D934,'المحافظات Governorates'!$A$2:$A$151,0)),"")</f>
        <v>Bishah</v>
      </c>
      <c r="I934" s="18" t="str">
        <f>IFERROR(INDEX('المناطق Regions'!$C$2:$C$15,MATCH(B934,'المناطق Regions'!$A$2:$A$15,0)),"")</f>
        <v>Aseer</v>
      </c>
      <c r="J934" s="18" t="str">
        <f>F934&amp;", "&amp;E934&amp;", Saudi Arabia"</f>
        <v>القوباء, بيشه, Saudi Arabia</v>
      </c>
      <c r="K934" s="18">
        <v>19.545325</v>
      </c>
      <c r="L934" s="18">
        <v>42.27897</v>
      </c>
      <c r="M934" s="18">
        <v>2000</v>
      </c>
      <c r="N934" s="18" t="s">
        <v>562</v>
      </c>
    </row>
    <row r="935" ht="15" customHeight="1" spans="1:14" x14ac:dyDescent="0.25">
      <c r="A935" s="13" t="s">
        <v>2428</v>
      </c>
      <c r="B935" s="13">
        <v>6</v>
      </c>
      <c r="C935" s="14" t="s">
        <v>65</v>
      </c>
      <c r="D935" s="13" t="s">
        <v>338</v>
      </c>
      <c r="E935" s="14" t="s">
        <v>339</v>
      </c>
      <c r="F935" s="14" t="s">
        <v>2429</v>
      </c>
      <c r="G935" s="13" t="s">
        <v>149</v>
      </c>
      <c r="H935" s="18" t="str">
        <f>IFERROR(INDEX('المحافظات Governorates'!$E$2:$E$151,MATCH(D935,'المحافظات Governorates'!$A$2:$A$151,0)),"")</f>
        <v>Bishah</v>
      </c>
      <c r="I935" s="18" t="str">
        <f>IFERROR(INDEX('المناطق Regions'!$C$2:$C$15,MATCH(B935,'المناطق Regions'!$A$2:$A$15,0)),"")</f>
        <v>Aseer</v>
      </c>
      <c r="J935" s="18" t="str">
        <f>F935&amp;", "&amp;E935&amp;", Saudi Arabia"</f>
        <v>الدحو, بيشه, Saudi Arabia</v>
      </c>
      <c r="K935" s="18">
        <v>20.111195</v>
      </c>
      <c r="L935" s="18">
        <v>42.657115</v>
      </c>
      <c r="M935" s="18">
        <v>2000</v>
      </c>
      <c r="N935" s="18" t="s">
        <v>562</v>
      </c>
    </row>
    <row r="936" ht="15" customHeight="1" spans="1:14" x14ac:dyDescent="0.25">
      <c r="A936" s="11" t="s">
        <v>2430</v>
      </c>
      <c r="B936" s="11">
        <v>6</v>
      </c>
      <c r="C936" s="12" t="s">
        <v>65</v>
      </c>
      <c r="D936" s="11" t="s">
        <v>338</v>
      </c>
      <c r="E936" s="12" t="s">
        <v>339</v>
      </c>
      <c r="F936" s="12" t="s">
        <v>2431</v>
      </c>
      <c r="G936" s="11" t="s">
        <v>149</v>
      </c>
      <c r="H936" s="18" t="str">
        <f>IFERROR(INDEX('المحافظات Governorates'!$E$2:$E$151,MATCH(D936,'المحافظات Governorates'!$A$2:$A$151,0)),"")</f>
        <v>Bishah</v>
      </c>
      <c r="I936" s="18" t="str">
        <f>IFERROR(INDEX('المناطق Regions'!$C$2:$C$15,MATCH(B936,'المناطق Regions'!$A$2:$A$15,0)),"")</f>
        <v>Aseer</v>
      </c>
      <c r="J936" s="18" t="str">
        <f>F936&amp;", "&amp;E936&amp;", Saudi Arabia"</f>
        <v>مهر, بيشه, Saudi Arabia</v>
      </c>
      <c r="K936" s="18">
        <v>19.839219</v>
      </c>
      <c r="L936" s="18">
        <v>42.570645</v>
      </c>
      <c r="M936" s="18">
        <v>109924</v>
      </c>
      <c r="N936" s="18" t="s">
        <v>2409</v>
      </c>
    </row>
    <row r="937" ht="15" customHeight="1" spans="1:14" x14ac:dyDescent="0.25">
      <c r="A937" s="13" t="s">
        <v>2432</v>
      </c>
      <c r="B937" s="13">
        <v>6</v>
      </c>
      <c r="C937" s="14" t="s">
        <v>65</v>
      </c>
      <c r="D937" s="13" t="s">
        <v>338</v>
      </c>
      <c r="E937" s="14" t="s">
        <v>339</v>
      </c>
      <c r="F937" s="14" t="s">
        <v>2433</v>
      </c>
      <c r="G937" s="13" t="s">
        <v>149</v>
      </c>
      <c r="H937" s="18" t="str">
        <f>IFERROR(INDEX('المحافظات Governorates'!$E$2:$E$151,MATCH(D937,'المحافظات Governorates'!$A$2:$A$151,0)),"")</f>
        <v>Bishah</v>
      </c>
      <c r="I937" s="18" t="str">
        <f>IFERROR(INDEX('المناطق Regions'!$C$2:$C$15,MATCH(B937,'المناطق Regions'!$A$2:$A$15,0)),"")</f>
        <v>Aseer</v>
      </c>
      <c r="J937" s="18" t="str">
        <f>F937&amp;", "&amp;E937&amp;", Saudi Arabia"</f>
        <v>سد الملك فهد, بيشه, Saudi Arabia</v>
      </c>
      <c r="K937" s="18">
        <v>19.645983</v>
      </c>
      <c r="L937" s="18">
        <v>42.455467</v>
      </c>
      <c r="M937" s="18">
        <v>2000</v>
      </c>
      <c r="N937" s="18" t="s">
        <v>562</v>
      </c>
    </row>
    <row r="938" ht="15" customHeight="1" spans="1:14" x14ac:dyDescent="0.25">
      <c r="A938" s="11" t="s">
        <v>2434</v>
      </c>
      <c r="B938" s="11">
        <v>6</v>
      </c>
      <c r="C938" s="12" t="s">
        <v>65</v>
      </c>
      <c r="D938" s="11" t="s">
        <v>338</v>
      </c>
      <c r="E938" s="12" t="s">
        <v>339</v>
      </c>
      <c r="F938" s="12" t="s">
        <v>2435</v>
      </c>
      <c r="G938" s="11" t="s">
        <v>149</v>
      </c>
      <c r="H938" s="18" t="str">
        <f>IFERROR(INDEX('المحافظات Governorates'!$E$2:$E$151,MATCH(D938,'المحافظات Governorates'!$A$2:$A$151,0)),"")</f>
        <v>Bishah</v>
      </c>
      <c r="I938" s="18" t="str">
        <f>IFERROR(INDEX('المناطق Regions'!$C$2:$C$15,MATCH(B938,'المناطق Regions'!$A$2:$A$15,0)),"")</f>
        <v>Aseer</v>
      </c>
      <c r="J938" s="18" t="str">
        <f>F938&amp;", "&amp;E938&amp;", Saudi Arabia"</f>
        <v>صور, بيشه, Saudi Arabia</v>
      </c>
      <c r="K938" s="18">
        <v>19.839219</v>
      </c>
      <c r="L938" s="18">
        <v>42.570645</v>
      </c>
      <c r="M938" s="18">
        <v>109924</v>
      </c>
      <c r="N938" s="18" t="s">
        <v>2409</v>
      </c>
    </row>
    <row r="939" ht="15" customHeight="1" spans="1:14" x14ac:dyDescent="0.25">
      <c r="A939" s="13" t="s">
        <v>2436</v>
      </c>
      <c r="B939" s="13">
        <v>6</v>
      </c>
      <c r="C939" s="14" t="s">
        <v>65</v>
      </c>
      <c r="D939" s="13" t="s">
        <v>338</v>
      </c>
      <c r="E939" s="14" t="s">
        <v>339</v>
      </c>
      <c r="F939" s="14" t="s">
        <v>266</v>
      </c>
      <c r="G939" s="13" t="s">
        <v>149</v>
      </c>
      <c r="H939" s="18" t="str">
        <f>IFERROR(INDEX('المحافظات Governorates'!$E$2:$E$151,MATCH(D939,'المحافظات Governorates'!$A$2:$A$151,0)),"")</f>
        <v>Bishah</v>
      </c>
      <c r="I939" s="18" t="str">
        <f>IFERROR(INDEX('المناطق Regions'!$C$2:$C$15,MATCH(B939,'المناطق Regions'!$A$2:$A$15,0)),"")</f>
        <v>Aseer</v>
      </c>
      <c r="J939" s="18" t="str">
        <f>F939&amp;", "&amp;E939&amp;", Saudi Arabia"</f>
        <v>الرس, بيشه, Saudi Arabia</v>
      </c>
      <c r="K939" s="18">
        <v>19.470241</v>
      </c>
      <c r="L939" s="18">
        <v>42.532291</v>
      </c>
      <c r="M939" s="18">
        <v>2000</v>
      </c>
      <c r="N939" s="18" t="s">
        <v>562</v>
      </c>
    </row>
    <row r="940" ht="15" customHeight="1" spans="1:14" x14ac:dyDescent="0.25">
      <c r="A940" s="11" t="s">
        <v>2437</v>
      </c>
      <c r="B940" s="11">
        <v>6</v>
      </c>
      <c r="C940" s="12" t="s">
        <v>65</v>
      </c>
      <c r="D940" s="11" t="s">
        <v>338</v>
      </c>
      <c r="E940" s="12" t="s">
        <v>339</v>
      </c>
      <c r="F940" s="12" t="s">
        <v>2438</v>
      </c>
      <c r="G940" s="11" t="s">
        <v>113</v>
      </c>
      <c r="H940" s="18" t="str">
        <f>IFERROR(INDEX('المحافظات Governorates'!$E$2:$E$151,MATCH(D940,'المحافظات Governorates'!$A$2:$A$151,0)),"")</f>
        <v>Bishah</v>
      </c>
      <c r="I940" s="18" t="str">
        <f>IFERROR(INDEX('المناطق Regions'!$C$2:$C$15,MATCH(B940,'المناطق Regions'!$A$2:$A$15,0)),"")</f>
        <v>Aseer</v>
      </c>
      <c r="J940" s="18" t="str">
        <f>F940&amp;", "&amp;E940&amp;", Saudi Arabia"</f>
        <v>العطف, بيشه, Saudi Arabia</v>
      </c>
      <c r="K940" s="18">
        <v>20.144484</v>
      </c>
      <c r="L940" s="18">
        <v>42.632956</v>
      </c>
      <c r="M940" s="18">
        <v>2000</v>
      </c>
      <c r="N940" s="18" t="s">
        <v>562</v>
      </c>
    </row>
    <row r="941" ht="15" customHeight="1" spans="1:14" x14ac:dyDescent="0.25">
      <c r="A941" s="13" t="s">
        <v>2439</v>
      </c>
      <c r="B941" s="13">
        <v>6</v>
      </c>
      <c r="C941" s="14" t="s">
        <v>65</v>
      </c>
      <c r="D941" s="13" t="s">
        <v>341</v>
      </c>
      <c r="E941" s="14" t="s">
        <v>342</v>
      </c>
      <c r="F941" s="14" t="s">
        <v>2440</v>
      </c>
      <c r="G941" s="13" t="s">
        <v>113</v>
      </c>
      <c r="H941" s="18" t="str">
        <f>IFERROR(INDEX('المحافظات Governorates'!$E$2:$E$151,MATCH(D941,'المحافظات Governorates'!$A$2:$A$151,0)),"")</f>
        <v>An-Namas</v>
      </c>
      <c r="I941" s="18" t="str">
        <f>IFERROR(INDEX('المناطق Regions'!$C$2:$C$15,MATCH(B941,'المناطق Regions'!$A$2:$A$15,0)),"")</f>
        <v>Aseer</v>
      </c>
      <c r="J941" s="18" t="str">
        <f>F941&amp;", "&amp;E941&amp;", Saudi Arabia"</f>
        <v>بني عمرو, النماص, Saudi Arabia</v>
      </c>
      <c r="K941" s="18">
        <v>19.380519</v>
      </c>
      <c r="L941" s="18">
        <v>42.047743</v>
      </c>
      <c r="M941" s="18">
        <v>2000</v>
      </c>
      <c r="N941" s="18" t="s">
        <v>562</v>
      </c>
    </row>
    <row r="942" ht="15" customHeight="1" spans="1:14" x14ac:dyDescent="0.25">
      <c r="A942" s="11" t="s">
        <v>2441</v>
      </c>
      <c r="B942" s="11">
        <v>6</v>
      </c>
      <c r="C942" s="12" t="s">
        <v>65</v>
      </c>
      <c r="D942" s="11" t="s">
        <v>341</v>
      </c>
      <c r="E942" s="12" t="s">
        <v>342</v>
      </c>
      <c r="F942" s="12" t="s">
        <v>2442</v>
      </c>
      <c r="G942" s="11" t="s">
        <v>149</v>
      </c>
      <c r="H942" s="18" t="str">
        <f>IFERROR(INDEX('المحافظات Governorates'!$E$2:$E$151,MATCH(D942,'المحافظات Governorates'!$A$2:$A$151,0)),"")</f>
        <v>An-Namas</v>
      </c>
      <c r="I942" s="18" t="str">
        <f>IFERROR(INDEX('المناطق Regions'!$C$2:$C$15,MATCH(B942,'المناطق Regions'!$A$2:$A$15,0)),"")</f>
        <v>Aseer</v>
      </c>
      <c r="J942" s="18" t="str">
        <f>F942&amp;", "&amp;E942&amp;", Saudi Arabia"</f>
        <v>السرح, النماص, Saudi Arabia</v>
      </c>
      <c r="K942" s="18">
        <v>19.272856</v>
      </c>
      <c r="L942" s="18">
        <v>42.253243</v>
      </c>
      <c r="M942" s="18">
        <v>42761</v>
      </c>
      <c r="N942" s="18" t="s">
        <v>2443</v>
      </c>
    </row>
    <row r="943" ht="15" customHeight="1" spans="1:14" x14ac:dyDescent="0.25">
      <c r="A943" s="13" t="s">
        <v>2444</v>
      </c>
      <c r="B943" s="13">
        <v>6</v>
      </c>
      <c r="C943" s="14" t="s">
        <v>65</v>
      </c>
      <c r="D943" s="13" t="s">
        <v>341</v>
      </c>
      <c r="E943" s="14" t="s">
        <v>342</v>
      </c>
      <c r="F943" s="14" t="s">
        <v>2445</v>
      </c>
      <c r="G943" s="13" t="s">
        <v>149</v>
      </c>
      <c r="H943" s="18" t="str">
        <f>IFERROR(INDEX('المحافظات Governorates'!$E$2:$E$151,MATCH(D943,'المحافظات Governorates'!$A$2:$A$151,0)),"")</f>
        <v>An-Namas</v>
      </c>
      <c r="I943" s="18" t="str">
        <f>IFERROR(INDEX('المناطق Regions'!$C$2:$C$15,MATCH(B943,'المناطق Regions'!$A$2:$A$15,0)),"")</f>
        <v>Aseer</v>
      </c>
      <c r="J943" s="18" t="str">
        <f>F943&amp;", "&amp;E943&amp;", Saudi Arabia"</f>
        <v>وادي زيد, النماص, Saudi Arabia</v>
      </c>
      <c r="K943" s="18">
        <v>19.272856</v>
      </c>
      <c r="L943" s="18">
        <v>42.253243</v>
      </c>
      <c r="M943" s="18">
        <v>42761</v>
      </c>
      <c r="N943" s="18" t="s">
        <v>2443</v>
      </c>
    </row>
    <row r="944" ht="15" customHeight="1" spans="1:14" x14ac:dyDescent="0.25">
      <c r="A944" s="11" t="s">
        <v>2446</v>
      </c>
      <c r="B944" s="11">
        <v>6</v>
      </c>
      <c r="C944" s="12" t="s">
        <v>65</v>
      </c>
      <c r="D944" s="11" t="s">
        <v>344</v>
      </c>
      <c r="E944" s="12" t="s">
        <v>345</v>
      </c>
      <c r="F944" s="12" t="s">
        <v>2447</v>
      </c>
      <c r="G944" s="11" t="s">
        <v>113</v>
      </c>
      <c r="H944" s="18" t="str">
        <f>IFERROR(INDEX('المحافظات Governorates'!$E$2:$E$151,MATCH(D944,'المحافظات Governorates'!$A$2:$A$151,0)),"")</f>
        <v>Muhayil Asir</v>
      </c>
      <c r="I944" s="18" t="str">
        <f>IFERROR(INDEX('المناطق Regions'!$C$2:$C$15,MATCH(B944,'المناطق Regions'!$A$2:$A$15,0)),"")</f>
        <v>Aseer</v>
      </c>
      <c r="J944" s="18" t="str">
        <f>F944&amp;", "&amp;E944&amp;", Saudi Arabia"</f>
        <v>قنا, محايل, Saudi Arabia</v>
      </c>
      <c r="K944" s="18">
        <v>18.337222</v>
      </c>
      <c r="L944" s="18">
        <v>41.981389</v>
      </c>
      <c r="M944" s="18">
        <v>2000</v>
      </c>
      <c r="N944" s="18" t="s">
        <v>642</v>
      </c>
    </row>
    <row r="945" ht="15" customHeight="1" spans="1:14" x14ac:dyDescent="0.25">
      <c r="A945" s="13" t="s">
        <v>2448</v>
      </c>
      <c r="B945" s="13">
        <v>6</v>
      </c>
      <c r="C945" s="14" t="s">
        <v>65</v>
      </c>
      <c r="D945" s="13" t="s">
        <v>344</v>
      </c>
      <c r="E945" s="14" t="s">
        <v>345</v>
      </c>
      <c r="F945" s="14" t="s">
        <v>2449</v>
      </c>
      <c r="G945" s="13" t="s">
        <v>113</v>
      </c>
      <c r="H945" s="18" t="str">
        <f>IFERROR(INDEX('المحافظات Governorates'!$E$2:$E$151,MATCH(D945,'المحافظات Governorates'!$A$2:$A$151,0)),"")</f>
        <v>Muhayil Asir</v>
      </c>
      <c r="I945" s="18" t="str">
        <f>IFERROR(INDEX('المناطق Regions'!$C$2:$C$15,MATCH(B945,'المناطق Regions'!$A$2:$A$15,0)),"")</f>
        <v>Aseer</v>
      </c>
      <c r="J945" s="18" t="str">
        <f>F945&amp;", "&amp;E945&amp;", Saudi Arabia"</f>
        <v>بحر ابوسكينه, محايل, Saudi Arabia</v>
      </c>
      <c r="K945" s="18">
        <v>18.468722</v>
      </c>
      <c r="L945" s="18">
        <v>41.939313</v>
      </c>
      <c r="M945" s="18">
        <v>40000</v>
      </c>
      <c r="N945" s="18" t="s">
        <v>1130</v>
      </c>
    </row>
    <row r="946" ht="15" customHeight="1" spans="1:14" x14ac:dyDescent="0.25">
      <c r="A946" s="11" t="s">
        <v>2450</v>
      </c>
      <c r="B946" s="11">
        <v>6</v>
      </c>
      <c r="C946" s="12" t="s">
        <v>65</v>
      </c>
      <c r="D946" s="11" t="s">
        <v>344</v>
      </c>
      <c r="E946" s="12" t="s">
        <v>345</v>
      </c>
      <c r="F946" s="12" t="s">
        <v>2451</v>
      </c>
      <c r="G946" s="11" t="s">
        <v>113</v>
      </c>
      <c r="H946" s="18" t="str">
        <f>IFERROR(INDEX('المحافظات Governorates'!$E$2:$E$151,MATCH(D946,'المحافظات Governorates'!$A$2:$A$151,0)),"")</f>
        <v>Muhayil Asir</v>
      </c>
      <c r="I946" s="18" t="str">
        <f>IFERROR(INDEX('المناطق Regions'!$C$2:$C$15,MATCH(B946,'المناطق Regions'!$A$2:$A$15,0)),"")</f>
        <v>Aseer</v>
      </c>
      <c r="J946" s="18" t="str">
        <f>F946&amp;", "&amp;E946&amp;", Saudi Arabia"</f>
        <v>تهامة بللسمر و بللحمر, محايل, Saudi Arabia</v>
      </c>
      <c r="K946" s="18">
        <v>18.468722</v>
      </c>
      <c r="L946" s="18">
        <v>41.939313</v>
      </c>
      <c r="M946" s="18">
        <v>40000</v>
      </c>
      <c r="N946" s="18" t="s">
        <v>1130</v>
      </c>
    </row>
    <row r="947" ht="15" customHeight="1" spans="1:14" x14ac:dyDescent="0.25">
      <c r="A947" s="13" t="s">
        <v>2452</v>
      </c>
      <c r="B947" s="13">
        <v>6</v>
      </c>
      <c r="C947" s="14" t="s">
        <v>65</v>
      </c>
      <c r="D947" s="13" t="s">
        <v>344</v>
      </c>
      <c r="E947" s="14" t="s">
        <v>345</v>
      </c>
      <c r="F947" s="14" t="s">
        <v>2453</v>
      </c>
      <c r="G947" s="13" t="s">
        <v>113</v>
      </c>
      <c r="H947" s="18" t="str">
        <f>IFERROR(INDEX('المحافظات Governorates'!$E$2:$E$151,MATCH(D947,'المحافظات Governorates'!$A$2:$A$151,0)),"")</f>
        <v>Muhayil Asir</v>
      </c>
      <c r="I947" s="18" t="str">
        <f>IFERROR(INDEX('المناطق Regions'!$C$2:$C$15,MATCH(B947,'المناطق Regions'!$A$2:$A$15,0)),"")</f>
        <v>Aseer</v>
      </c>
      <c r="J947" s="18" t="str">
        <f>F947&amp;", "&amp;E947&amp;", Saudi Arabia"</f>
        <v>السعيدة, محايل, Saudi Arabia</v>
      </c>
      <c r="K947" s="18">
        <v>18.468722</v>
      </c>
      <c r="L947" s="18">
        <v>41.939313</v>
      </c>
      <c r="M947" s="18">
        <v>40000</v>
      </c>
      <c r="N947" s="18" t="s">
        <v>1130</v>
      </c>
    </row>
    <row r="948" ht="15" customHeight="1" spans="1:14" x14ac:dyDescent="0.25">
      <c r="A948" s="11" t="s">
        <v>2454</v>
      </c>
      <c r="B948" s="11">
        <v>6</v>
      </c>
      <c r="C948" s="12" t="s">
        <v>65</v>
      </c>
      <c r="D948" s="11" t="s">
        <v>344</v>
      </c>
      <c r="E948" s="12" t="s">
        <v>345</v>
      </c>
      <c r="F948" s="12" t="s">
        <v>2455</v>
      </c>
      <c r="G948" s="11" t="s">
        <v>149</v>
      </c>
      <c r="H948" s="18" t="str">
        <f>IFERROR(INDEX('المحافظات Governorates'!$E$2:$E$151,MATCH(D948,'المحافظات Governorates'!$A$2:$A$151,0)),"")</f>
        <v>Muhayil Asir</v>
      </c>
      <c r="I948" s="18" t="str">
        <f>IFERROR(INDEX('المناطق Regions'!$C$2:$C$15,MATCH(B948,'المناطق Regions'!$A$2:$A$15,0)),"")</f>
        <v>Aseer</v>
      </c>
      <c r="J948" s="18" t="str">
        <f>F948&amp;", "&amp;E948&amp;", Saudi Arabia"</f>
        <v>خلال, محايل, Saudi Arabia</v>
      </c>
      <c r="K948" s="18">
        <v>18.468722</v>
      </c>
      <c r="L948" s="18">
        <v>41.939313</v>
      </c>
      <c r="M948" s="18">
        <v>40000</v>
      </c>
      <c r="N948" s="18" t="s">
        <v>1130</v>
      </c>
    </row>
    <row r="949" ht="15" customHeight="1" spans="1:14" x14ac:dyDescent="0.25">
      <c r="A949" s="13" t="s">
        <v>2456</v>
      </c>
      <c r="B949" s="13">
        <v>6</v>
      </c>
      <c r="C949" s="14" t="s">
        <v>65</v>
      </c>
      <c r="D949" s="13" t="s">
        <v>344</v>
      </c>
      <c r="E949" s="14" t="s">
        <v>345</v>
      </c>
      <c r="F949" s="14" t="s">
        <v>2457</v>
      </c>
      <c r="G949" s="13" t="s">
        <v>149</v>
      </c>
      <c r="H949" s="18" t="str">
        <f>IFERROR(INDEX('المحافظات Governorates'!$E$2:$E$151,MATCH(D949,'المحافظات Governorates'!$A$2:$A$151,0)),"")</f>
        <v>Muhayil Asir</v>
      </c>
      <c r="I949" s="18" t="str">
        <f>IFERROR(INDEX('المناطق Regions'!$C$2:$C$15,MATCH(B949,'المناطق Regions'!$A$2:$A$15,0)),"")</f>
        <v>Aseer</v>
      </c>
      <c r="J949" s="18" t="str">
        <f>F949&amp;", "&amp;E949&amp;", Saudi Arabia"</f>
        <v>حميد العلايا, محايل, Saudi Arabia</v>
      </c>
      <c r="K949" s="18">
        <v>18.468722</v>
      </c>
      <c r="L949" s="18">
        <v>41.939313</v>
      </c>
      <c r="M949" s="18">
        <v>40000</v>
      </c>
      <c r="N949" s="18" t="s">
        <v>1130</v>
      </c>
    </row>
    <row r="950" ht="15" customHeight="1" spans="1:14" x14ac:dyDescent="0.25">
      <c r="A950" s="11" t="s">
        <v>2458</v>
      </c>
      <c r="B950" s="11">
        <v>6</v>
      </c>
      <c r="C950" s="12" t="s">
        <v>65</v>
      </c>
      <c r="D950" s="11" t="s">
        <v>344</v>
      </c>
      <c r="E950" s="12" t="s">
        <v>345</v>
      </c>
      <c r="F950" s="12" t="s">
        <v>2459</v>
      </c>
      <c r="G950" s="11" t="s">
        <v>149</v>
      </c>
      <c r="H950" s="18" t="str">
        <f>IFERROR(INDEX('المحافظات Governorates'!$E$2:$E$151,MATCH(D950,'المحافظات Governorates'!$A$2:$A$151,0)),"")</f>
        <v>Muhayil Asir</v>
      </c>
      <c r="I950" s="18" t="str">
        <f>IFERROR(INDEX('المناطق Regions'!$C$2:$C$15,MATCH(B950,'المناطق Regions'!$A$2:$A$15,0)),"")</f>
        <v>Aseer</v>
      </c>
      <c r="J950" s="18" t="str">
        <f>F950&amp;", "&amp;E950&amp;", Saudi Arabia"</f>
        <v>خيم, محايل, Saudi Arabia</v>
      </c>
      <c r="K950" s="18">
        <v>18.468722</v>
      </c>
      <c r="L950" s="18">
        <v>41.939313</v>
      </c>
      <c r="M950" s="18">
        <v>40000</v>
      </c>
      <c r="N950" s="18" t="s">
        <v>1130</v>
      </c>
    </row>
    <row r="951" ht="15" customHeight="1" spans="1:14" x14ac:dyDescent="0.25">
      <c r="A951" s="13" t="s">
        <v>2460</v>
      </c>
      <c r="B951" s="13">
        <v>6</v>
      </c>
      <c r="C951" s="14" t="s">
        <v>65</v>
      </c>
      <c r="D951" s="13" t="s">
        <v>344</v>
      </c>
      <c r="E951" s="14" t="s">
        <v>345</v>
      </c>
      <c r="F951" s="14" t="s">
        <v>2461</v>
      </c>
      <c r="G951" s="13" t="s">
        <v>149</v>
      </c>
      <c r="H951" s="18" t="str">
        <f>IFERROR(INDEX('المحافظات Governorates'!$E$2:$E$151,MATCH(D951,'المحافظات Governorates'!$A$2:$A$151,0)),"")</f>
        <v>Muhayil Asir</v>
      </c>
      <c r="I951" s="18" t="str">
        <f>IFERROR(INDEX('المناطق Regions'!$C$2:$C$15,MATCH(B951,'المناطق Regions'!$A$2:$A$15,0)),"")</f>
        <v>Aseer</v>
      </c>
      <c r="J951" s="18" t="str">
        <f>F951&amp;", "&amp;E951&amp;", Saudi Arabia"</f>
        <v>حبطن, محايل, Saudi Arabia</v>
      </c>
      <c r="K951" s="18">
        <v>18.676662</v>
      </c>
      <c r="L951" s="18">
        <v>41.838753</v>
      </c>
      <c r="M951" s="18">
        <v>2000</v>
      </c>
      <c r="N951" s="18" t="s">
        <v>642</v>
      </c>
    </row>
    <row r="952" ht="15" customHeight="1" spans="1:14" x14ac:dyDescent="0.25">
      <c r="A952" s="11" t="s">
        <v>2462</v>
      </c>
      <c r="B952" s="11">
        <v>6</v>
      </c>
      <c r="C952" s="12" t="s">
        <v>65</v>
      </c>
      <c r="D952" s="11" t="s">
        <v>344</v>
      </c>
      <c r="E952" s="12" t="s">
        <v>345</v>
      </c>
      <c r="F952" s="12" t="s">
        <v>2463</v>
      </c>
      <c r="G952" s="11" t="s">
        <v>149</v>
      </c>
      <c r="H952" s="18" t="str">
        <f>IFERROR(INDEX('المحافظات Governorates'!$E$2:$E$151,MATCH(D952,'المحافظات Governorates'!$A$2:$A$151,0)),"")</f>
        <v>Muhayil Asir</v>
      </c>
      <c r="I952" s="18" t="str">
        <f>IFERROR(INDEX('المناطق Regions'!$C$2:$C$15,MATCH(B952,'المناطق Regions'!$A$2:$A$15,0)),"")</f>
        <v>Aseer</v>
      </c>
      <c r="J952" s="18" t="str">
        <f>F952&amp;", "&amp;E952&amp;", Saudi Arabia"</f>
        <v>وادي تيه, محايل, Saudi Arabia</v>
      </c>
      <c r="K952" s="18">
        <v>18.538338</v>
      </c>
      <c r="L952" s="18">
        <v>42.044879</v>
      </c>
      <c r="M952" s="18">
        <v>2000</v>
      </c>
      <c r="N952" s="18" t="s">
        <v>642</v>
      </c>
    </row>
    <row r="953" ht="15" customHeight="1" spans="1:14" x14ac:dyDescent="0.25">
      <c r="A953" s="13" t="s">
        <v>2464</v>
      </c>
      <c r="B953" s="13">
        <v>6</v>
      </c>
      <c r="C953" s="14" t="s">
        <v>65</v>
      </c>
      <c r="D953" s="13" t="s">
        <v>347</v>
      </c>
      <c r="E953" s="14" t="s">
        <v>348</v>
      </c>
      <c r="F953" s="14" t="s">
        <v>1142</v>
      </c>
      <c r="G953" s="13" t="s">
        <v>113</v>
      </c>
      <c r="H953" s="18" t="str">
        <f>IFERROR(INDEX('المحافظات Governorates'!$E$2:$E$151,MATCH(D953,'المحافظات Governorates'!$A$2:$A$151,0)),"")</f>
        <v>Sarat Abidah</v>
      </c>
      <c r="I953" s="18" t="str">
        <f>IFERROR(INDEX('المناطق Regions'!$C$2:$C$15,MATCH(B953,'المناطق Regions'!$A$2:$A$15,0)),"")</f>
        <v>Aseer</v>
      </c>
      <c r="J953" s="18" t="str">
        <f>F953&amp;", "&amp;E953&amp;", Saudi Arabia"</f>
        <v>الفرشه, سراة عبيده, Saudi Arabia</v>
      </c>
      <c r="K953" s="18">
        <v>17.750994</v>
      </c>
      <c r="L953" s="18">
        <v>43.155716</v>
      </c>
      <c r="M953" s="18">
        <v>2000</v>
      </c>
      <c r="N953" s="18" t="s">
        <v>562</v>
      </c>
    </row>
    <row r="954" ht="15" customHeight="1" spans="1:14" x14ac:dyDescent="0.25">
      <c r="A954" s="11" t="s">
        <v>2465</v>
      </c>
      <c r="B954" s="11">
        <v>6</v>
      </c>
      <c r="C954" s="12" t="s">
        <v>65</v>
      </c>
      <c r="D954" s="11" t="s">
        <v>347</v>
      </c>
      <c r="E954" s="12" t="s">
        <v>348</v>
      </c>
      <c r="F954" s="12" t="s">
        <v>2466</v>
      </c>
      <c r="G954" s="11" t="s">
        <v>113</v>
      </c>
      <c r="H954" s="18" t="str">
        <f>IFERROR(INDEX('المحافظات Governorates'!$E$2:$E$151,MATCH(D954,'المحافظات Governorates'!$A$2:$A$151,0)),"")</f>
        <v>Sarat Abidah</v>
      </c>
      <c r="I954" s="18" t="str">
        <f>IFERROR(INDEX('المناطق Regions'!$C$2:$C$15,MATCH(B954,'المناطق Regions'!$A$2:$A$15,0)),"")</f>
        <v>Aseer</v>
      </c>
      <c r="J954" s="18" t="str">
        <f>F954&amp;", "&amp;E954&amp;", Saudi Arabia"</f>
        <v>الجوه, سراة عبيده, Saudi Arabia</v>
      </c>
      <c r="K954" s="18">
        <v>17.968719</v>
      </c>
      <c r="L954" s="18">
        <v>43.154587</v>
      </c>
      <c r="M954" s="18">
        <v>56012</v>
      </c>
      <c r="N954" s="18" t="s">
        <v>2467</v>
      </c>
    </row>
    <row r="955" ht="15" customHeight="1" spans="1:14" x14ac:dyDescent="0.25">
      <c r="A955" s="13" t="s">
        <v>2468</v>
      </c>
      <c r="B955" s="13">
        <v>6</v>
      </c>
      <c r="C955" s="14" t="s">
        <v>65</v>
      </c>
      <c r="D955" s="13" t="s">
        <v>347</v>
      </c>
      <c r="E955" s="14" t="s">
        <v>348</v>
      </c>
      <c r="F955" s="14" t="s">
        <v>1587</v>
      </c>
      <c r="G955" s="13" t="s">
        <v>113</v>
      </c>
      <c r="H955" s="18" t="str">
        <f>IFERROR(INDEX('المحافظات Governorates'!$E$2:$E$151,MATCH(D955,'المحافظات Governorates'!$A$2:$A$151,0)),"")</f>
        <v>Sarat Abidah</v>
      </c>
      <c r="I955" s="18" t="str">
        <f>IFERROR(INDEX('المناطق Regions'!$C$2:$C$15,MATCH(B955,'المناطق Regions'!$A$2:$A$15,0)),"")</f>
        <v>Aseer</v>
      </c>
      <c r="J955" s="18" t="str">
        <f>F955&amp;", "&amp;E955&amp;", Saudi Arabia"</f>
        <v>العرقين, سراة عبيده, Saudi Arabia</v>
      </c>
      <c r="K955" s="18">
        <v>18.337017</v>
      </c>
      <c r="L955" s="18">
        <v>43.278708</v>
      </c>
      <c r="M955" s="18">
        <v>2000</v>
      </c>
      <c r="N955" s="18" t="s">
        <v>562</v>
      </c>
    </row>
    <row r="956" ht="15" customHeight="1" spans="1:14" x14ac:dyDescent="0.25">
      <c r="A956" s="11" t="s">
        <v>2469</v>
      </c>
      <c r="B956" s="11">
        <v>6</v>
      </c>
      <c r="C956" s="12" t="s">
        <v>65</v>
      </c>
      <c r="D956" s="11" t="s">
        <v>347</v>
      </c>
      <c r="E956" s="12" t="s">
        <v>348</v>
      </c>
      <c r="F956" s="12" t="s">
        <v>2470</v>
      </c>
      <c r="G956" s="11" t="s">
        <v>113</v>
      </c>
      <c r="H956" s="18" t="str">
        <f>IFERROR(INDEX('المحافظات Governorates'!$E$2:$E$151,MATCH(D956,'المحافظات Governorates'!$A$2:$A$151,0)),"")</f>
        <v>Sarat Abidah</v>
      </c>
      <c r="I956" s="18" t="str">
        <f>IFERROR(INDEX('المناطق Regions'!$C$2:$C$15,MATCH(B956,'المناطق Regions'!$A$2:$A$15,0)),"")</f>
        <v>Aseer</v>
      </c>
      <c r="J956" s="18" t="str">
        <f>F956&amp;", "&amp;E956&amp;", Saudi Arabia"</f>
        <v>وادى الحيا, سراة عبيده, Saudi Arabia</v>
      </c>
      <c r="K956" s="18">
        <v>17.968719</v>
      </c>
      <c r="L956" s="18">
        <v>43.154587</v>
      </c>
      <c r="M956" s="18">
        <v>56012</v>
      </c>
      <c r="N956" s="18" t="s">
        <v>2467</v>
      </c>
    </row>
    <row r="957" ht="15" customHeight="1" spans="1:14" x14ac:dyDescent="0.25">
      <c r="A957" s="13" t="s">
        <v>2471</v>
      </c>
      <c r="B957" s="13">
        <v>6</v>
      </c>
      <c r="C957" s="14" t="s">
        <v>65</v>
      </c>
      <c r="D957" s="13" t="s">
        <v>347</v>
      </c>
      <c r="E957" s="14" t="s">
        <v>348</v>
      </c>
      <c r="F957" s="14" t="s">
        <v>2472</v>
      </c>
      <c r="G957" s="13" t="s">
        <v>149</v>
      </c>
      <c r="H957" s="18" t="str">
        <f>IFERROR(INDEX('المحافظات Governorates'!$E$2:$E$151,MATCH(D957,'المحافظات Governorates'!$A$2:$A$151,0)),"")</f>
        <v>Sarat Abidah</v>
      </c>
      <c r="I957" s="18" t="str">
        <f>IFERROR(INDEX('المناطق Regions'!$C$2:$C$15,MATCH(B957,'المناطق Regions'!$A$2:$A$15,0)),"")</f>
        <v>Aseer</v>
      </c>
      <c r="J957" s="18" t="str">
        <f>F957&amp;", "&amp;E957&amp;", Saudi Arabia"</f>
        <v>وادي سريان, سراة عبيده, Saudi Arabia</v>
      </c>
      <c r="K957" s="18">
        <v>17.968719</v>
      </c>
      <c r="L957" s="18">
        <v>43.154587</v>
      </c>
      <c r="M957" s="18">
        <v>56012</v>
      </c>
      <c r="N957" s="18" t="s">
        <v>2467</v>
      </c>
    </row>
    <row r="958" ht="15" customHeight="1" spans="1:14" x14ac:dyDescent="0.25">
      <c r="A958" s="11" t="s">
        <v>2473</v>
      </c>
      <c r="B958" s="11">
        <v>6</v>
      </c>
      <c r="C958" s="12" t="s">
        <v>65</v>
      </c>
      <c r="D958" s="11" t="s">
        <v>347</v>
      </c>
      <c r="E958" s="12" t="s">
        <v>348</v>
      </c>
      <c r="F958" s="12" t="s">
        <v>2474</v>
      </c>
      <c r="G958" s="11" t="s">
        <v>149</v>
      </c>
      <c r="H958" s="18" t="str">
        <f>IFERROR(INDEX('المحافظات Governorates'!$E$2:$E$151,MATCH(D958,'المحافظات Governorates'!$A$2:$A$151,0)),"")</f>
        <v>Sarat Abidah</v>
      </c>
      <c r="I958" s="18" t="str">
        <f>IFERROR(INDEX('المناطق Regions'!$C$2:$C$15,MATCH(B958,'المناطق Regions'!$A$2:$A$15,0)),"")</f>
        <v>Aseer</v>
      </c>
      <c r="J958" s="18" t="str">
        <f>F958&amp;", "&amp;E958&amp;", Saudi Arabia"</f>
        <v>جوف آل معمر, سراة عبيده, Saudi Arabia</v>
      </c>
      <c r="K958" s="18">
        <v>17.968719</v>
      </c>
      <c r="L958" s="18">
        <v>43.154587</v>
      </c>
      <c r="M958" s="18">
        <v>56012</v>
      </c>
      <c r="N958" s="18" t="s">
        <v>2467</v>
      </c>
    </row>
    <row r="959" ht="15" customHeight="1" spans="1:14" x14ac:dyDescent="0.25">
      <c r="A959" s="13" t="s">
        <v>2475</v>
      </c>
      <c r="B959" s="13">
        <v>6</v>
      </c>
      <c r="C959" s="14" t="s">
        <v>65</v>
      </c>
      <c r="D959" s="13" t="s">
        <v>347</v>
      </c>
      <c r="E959" s="14" t="s">
        <v>348</v>
      </c>
      <c r="F959" s="14" t="s">
        <v>2476</v>
      </c>
      <c r="G959" s="13" t="s">
        <v>149</v>
      </c>
      <c r="H959" s="18" t="str">
        <f>IFERROR(INDEX('المحافظات Governorates'!$E$2:$E$151,MATCH(D959,'المحافظات Governorates'!$A$2:$A$151,0)),"")</f>
        <v>Sarat Abidah</v>
      </c>
      <c r="I959" s="18" t="str">
        <f>IFERROR(INDEX('المناطق Regions'!$C$2:$C$15,MATCH(B959,'المناطق Regions'!$A$2:$A$15,0)),"")</f>
        <v>Aseer</v>
      </c>
      <c r="J959" s="18" t="str">
        <f>F959&amp;", "&amp;E959&amp;", Saudi Arabia"</f>
        <v>العسران, سراة عبيده, Saudi Arabia</v>
      </c>
      <c r="K959" s="18">
        <v>18.053333</v>
      </c>
      <c r="L959" s="18">
        <v>43.057778</v>
      </c>
      <c r="M959" s="18">
        <v>2000</v>
      </c>
      <c r="N959" s="18" t="s">
        <v>562</v>
      </c>
    </row>
    <row r="960" ht="15" customHeight="1" spans="1:14" x14ac:dyDescent="0.25">
      <c r="A960" s="11" t="s">
        <v>2477</v>
      </c>
      <c r="B960" s="11">
        <v>6</v>
      </c>
      <c r="C960" s="12" t="s">
        <v>65</v>
      </c>
      <c r="D960" s="11" t="s">
        <v>347</v>
      </c>
      <c r="E960" s="12" t="s">
        <v>348</v>
      </c>
      <c r="F960" s="12" t="s">
        <v>2478</v>
      </c>
      <c r="G960" s="11" t="s">
        <v>149</v>
      </c>
      <c r="H960" s="18" t="str">
        <f>IFERROR(INDEX('المحافظات Governorates'!$E$2:$E$151,MATCH(D960,'المحافظات Governorates'!$A$2:$A$151,0)),"")</f>
        <v>Sarat Abidah</v>
      </c>
      <c r="I960" s="18" t="str">
        <f>IFERROR(INDEX('المناطق Regions'!$C$2:$C$15,MATCH(B960,'المناطق Regions'!$A$2:$A$15,0)),"")</f>
        <v>Aseer</v>
      </c>
      <c r="J960" s="18" t="str">
        <f>F960&amp;", "&amp;E960&amp;", Saudi Arabia"</f>
        <v>سبت بنى بشر, سراة عبيده, Saudi Arabia</v>
      </c>
      <c r="K960" s="18">
        <v>17.968719</v>
      </c>
      <c r="L960" s="18">
        <v>43.154587</v>
      </c>
      <c r="M960" s="18">
        <v>56012</v>
      </c>
      <c r="N960" s="18" t="s">
        <v>2467</v>
      </c>
    </row>
    <row r="961" ht="15" customHeight="1" spans="1:14" x14ac:dyDescent="0.25">
      <c r="A961" s="13" t="s">
        <v>2479</v>
      </c>
      <c r="B961" s="13">
        <v>6</v>
      </c>
      <c r="C961" s="14" t="s">
        <v>65</v>
      </c>
      <c r="D961" s="13" t="s">
        <v>347</v>
      </c>
      <c r="E961" s="14" t="s">
        <v>348</v>
      </c>
      <c r="F961" s="14" t="s">
        <v>2480</v>
      </c>
      <c r="G961" s="13" t="s">
        <v>149</v>
      </c>
      <c r="H961" s="18" t="str">
        <f>IFERROR(INDEX('المحافظات Governorates'!$E$2:$E$151,MATCH(D961,'المحافظات Governorates'!$A$2:$A$151,0)),"")</f>
        <v>Sarat Abidah</v>
      </c>
      <c r="I961" s="18" t="str">
        <f>IFERROR(INDEX('المناطق Regions'!$C$2:$C$15,MATCH(B961,'المناطق Regions'!$A$2:$A$15,0)),"")</f>
        <v>Aseer</v>
      </c>
      <c r="J961" s="18" t="str">
        <f>F961&amp;", "&amp;E961&amp;", Saudi Arabia"</f>
        <v>عين اللوي, سراة عبيده, Saudi Arabia</v>
      </c>
      <c r="K961" s="18">
        <v>18.047934</v>
      </c>
      <c r="L961" s="18">
        <v>43.018299</v>
      </c>
      <c r="M961" s="18">
        <v>2000</v>
      </c>
      <c r="N961" s="18" t="s">
        <v>562</v>
      </c>
    </row>
    <row r="962" ht="15" customHeight="1" spans="1:14" x14ac:dyDescent="0.25">
      <c r="A962" s="11" t="s">
        <v>2481</v>
      </c>
      <c r="B962" s="11">
        <v>6</v>
      </c>
      <c r="C962" s="12" t="s">
        <v>65</v>
      </c>
      <c r="D962" s="11" t="s">
        <v>347</v>
      </c>
      <c r="E962" s="12" t="s">
        <v>348</v>
      </c>
      <c r="F962" s="12" t="s">
        <v>2482</v>
      </c>
      <c r="G962" s="11" t="s">
        <v>149</v>
      </c>
      <c r="H962" s="18" t="str">
        <f>IFERROR(INDEX('المحافظات Governorates'!$E$2:$E$151,MATCH(D962,'المحافظات Governorates'!$A$2:$A$151,0)),"")</f>
        <v>Sarat Abidah</v>
      </c>
      <c r="I962" s="18" t="str">
        <f>IFERROR(INDEX('المناطق Regions'!$C$2:$C$15,MATCH(B962,'المناطق Regions'!$A$2:$A$15,0)),"")</f>
        <v>Aseer</v>
      </c>
      <c r="J962" s="18" t="str">
        <f>F962&amp;", "&amp;E962&amp;", Saudi Arabia"</f>
        <v>خشم عنقارٍ, سراة عبيده, Saudi Arabia</v>
      </c>
      <c r="K962" s="18">
        <v>17.63389</v>
      </c>
      <c r="L962" s="18">
        <v>43.161537</v>
      </c>
      <c r="M962" s="18">
        <v>2000</v>
      </c>
      <c r="N962" s="18" t="s">
        <v>562</v>
      </c>
    </row>
    <row r="963" ht="15" customHeight="1" spans="1:14" x14ac:dyDescent="0.25">
      <c r="A963" s="13" t="s">
        <v>2483</v>
      </c>
      <c r="B963" s="13">
        <v>6</v>
      </c>
      <c r="C963" s="14" t="s">
        <v>65</v>
      </c>
      <c r="D963" s="13" t="s">
        <v>350</v>
      </c>
      <c r="E963" s="14" t="s">
        <v>351</v>
      </c>
      <c r="F963" s="14" t="s">
        <v>610</v>
      </c>
      <c r="G963" s="13" t="s">
        <v>113</v>
      </c>
      <c r="H963" s="18" t="str">
        <f>IFERROR(INDEX('المحافظات Governorates'!$E$2:$E$151,MATCH(D963,'المحافظات Governorates'!$A$2:$A$151,0)),"")</f>
        <v>Tathlith</v>
      </c>
      <c r="I963" s="18" t="str">
        <f>IFERROR(INDEX('المناطق Regions'!$C$2:$C$15,MATCH(B963,'المناطق Regions'!$A$2:$A$15,0)),"")</f>
        <v>Aseer</v>
      </c>
      <c r="J963" s="18" t="str">
        <f>F963&amp;", "&amp;E963&amp;", Saudi Arabia"</f>
        <v>العين, تثليث, Saudi Arabia</v>
      </c>
      <c r="K963" s="18">
        <v>19.647885</v>
      </c>
      <c r="L963" s="18">
        <v>43.659661</v>
      </c>
      <c r="M963" s="18">
        <v>163492</v>
      </c>
      <c r="N963" s="18" t="s">
        <v>2484</v>
      </c>
    </row>
    <row r="964" ht="15" customHeight="1" spans="1:14" x14ac:dyDescent="0.25">
      <c r="A964" s="11" t="s">
        <v>2485</v>
      </c>
      <c r="B964" s="11">
        <v>6</v>
      </c>
      <c r="C964" s="12" t="s">
        <v>65</v>
      </c>
      <c r="D964" s="11" t="s">
        <v>350</v>
      </c>
      <c r="E964" s="12" t="s">
        <v>351</v>
      </c>
      <c r="F964" s="12" t="s">
        <v>2486</v>
      </c>
      <c r="G964" s="11" t="s">
        <v>149</v>
      </c>
      <c r="H964" s="18" t="str">
        <f>IFERROR(INDEX('المحافظات Governorates'!$E$2:$E$151,MATCH(D964,'المحافظات Governorates'!$A$2:$A$151,0)),"")</f>
        <v>Tathlith</v>
      </c>
      <c r="I964" s="18" t="str">
        <f>IFERROR(INDEX('المناطق Regions'!$C$2:$C$15,MATCH(B964,'المناطق Regions'!$A$2:$A$15,0)),"")</f>
        <v>Aseer</v>
      </c>
      <c r="J964" s="18" t="str">
        <f>F964&amp;", "&amp;E964&amp;", Saudi Arabia"</f>
        <v>ابرق النعام, تثليث, Saudi Arabia</v>
      </c>
      <c r="K964" s="18">
        <v>19.626</v>
      </c>
      <c r="L964" s="18">
        <v>44.2224</v>
      </c>
      <c r="M964" s="18">
        <v>2000</v>
      </c>
      <c r="N964" s="18" t="s">
        <v>562</v>
      </c>
    </row>
    <row r="965" ht="15" customHeight="1" spans="1:14" x14ac:dyDescent="0.25">
      <c r="A965" s="13" t="s">
        <v>2487</v>
      </c>
      <c r="B965" s="13">
        <v>6</v>
      </c>
      <c r="C965" s="14" t="s">
        <v>65</v>
      </c>
      <c r="D965" s="13" t="s">
        <v>350</v>
      </c>
      <c r="E965" s="14" t="s">
        <v>351</v>
      </c>
      <c r="F965" s="14" t="s">
        <v>2488</v>
      </c>
      <c r="G965" s="13" t="s">
        <v>149</v>
      </c>
      <c r="H965" s="18" t="str">
        <f>IFERROR(INDEX('المحافظات Governorates'!$E$2:$E$151,MATCH(D965,'المحافظات Governorates'!$A$2:$A$151,0)),"")</f>
        <v>Tathlith</v>
      </c>
      <c r="I965" s="18" t="str">
        <f>IFERROR(INDEX('المناطق Regions'!$C$2:$C$15,MATCH(B965,'المناطق Regions'!$A$2:$A$15,0)),"")</f>
        <v>Aseer</v>
      </c>
      <c r="J965" s="18" t="str">
        <f>F965&amp;", "&amp;E965&amp;", Saudi Arabia"</f>
        <v>القيره, تثليث, Saudi Arabia</v>
      </c>
      <c r="K965" s="18">
        <v>19.967709</v>
      </c>
      <c r="L965" s="18">
        <v>44.04871</v>
      </c>
      <c r="M965" s="18">
        <v>2000</v>
      </c>
      <c r="N965" s="18" t="s">
        <v>562</v>
      </c>
    </row>
    <row r="966" ht="15" customHeight="1" spans="1:14" x14ac:dyDescent="0.25">
      <c r="A966" s="11" t="s">
        <v>2489</v>
      </c>
      <c r="B966" s="11">
        <v>6</v>
      </c>
      <c r="C966" s="12" t="s">
        <v>65</v>
      </c>
      <c r="D966" s="11" t="s">
        <v>350</v>
      </c>
      <c r="E966" s="12" t="s">
        <v>351</v>
      </c>
      <c r="F966" s="12" t="s">
        <v>2490</v>
      </c>
      <c r="G966" s="11" t="s">
        <v>149</v>
      </c>
      <c r="H966" s="18" t="str">
        <f>IFERROR(INDEX('المحافظات Governorates'!$E$2:$E$151,MATCH(D966,'المحافظات Governorates'!$A$2:$A$151,0)),"")</f>
        <v>Tathlith</v>
      </c>
      <c r="I966" s="18" t="str">
        <f>IFERROR(INDEX('المناطق Regions'!$C$2:$C$15,MATCH(B966,'المناطق Regions'!$A$2:$A$15,0)),"")</f>
        <v>Aseer</v>
      </c>
      <c r="J966" s="18" t="str">
        <f>F966&amp;", "&amp;E966&amp;", Saudi Arabia"</f>
        <v>حبيه, تثليث, Saudi Arabia</v>
      </c>
      <c r="K966" s="18">
        <v>19.647885</v>
      </c>
      <c r="L966" s="18">
        <v>43.659661</v>
      </c>
      <c r="M966" s="18">
        <v>163492</v>
      </c>
      <c r="N966" s="18" t="s">
        <v>2484</v>
      </c>
    </row>
    <row r="967" ht="15" customHeight="1" spans="1:14" x14ac:dyDescent="0.25">
      <c r="A967" s="13" t="s">
        <v>2491</v>
      </c>
      <c r="B967" s="13">
        <v>6</v>
      </c>
      <c r="C967" s="14" t="s">
        <v>65</v>
      </c>
      <c r="D967" s="13" t="s">
        <v>350</v>
      </c>
      <c r="E967" s="14" t="s">
        <v>351</v>
      </c>
      <c r="F967" s="14" t="s">
        <v>2492</v>
      </c>
      <c r="G967" s="13" t="s">
        <v>113</v>
      </c>
      <c r="H967" s="18" t="str">
        <f>IFERROR(INDEX('المحافظات Governorates'!$E$2:$E$151,MATCH(D967,'المحافظات Governorates'!$A$2:$A$151,0)),"")</f>
        <v>Tathlith</v>
      </c>
      <c r="I967" s="18" t="str">
        <f>IFERROR(INDEX('المناطق Regions'!$C$2:$C$15,MATCH(B967,'المناطق Regions'!$A$2:$A$15,0)),"")</f>
        <v>Aseer</v>
      </c>
      <c r="J967" s="18" t="str">
        <f>F967&amp;", "&amp;E967&amp;", Saudi Arabia"</f>
        <v>الحمضه, تثليث, Saudi Arabia</v>
      </c>
      <c r="K967" s="18">
        <v>19.03026</v>
      </c>
      <c r="L967" s="18">
        <v>43.600815</v>
      </c>
      <c r="M967" s="18">
        <v>2000</v>
      </c>
      <c r="N967" s="18" t="s">
        <v>562</v>
      </c>
    </row>
    <row r="968" ht="15" customHeight="1" spans="1:14" x14ac:dyDescent="0.25">
      <c r="A968" s="11" t="s">
        <v>2493</v>
      </c>
      <c r="B968" s="11">
        <v>6</v>
      </c>
      <c r="C968" s="12" t="s">
        <v>65</v>
      </c>
      <c r="D968" s="11" t="s">
        <v>350</v>
      </c>
      <c r="E968" s="12" t="s">
        <v>351</v>
      </c>
      <c r="F968" s="12" t="s">
        <v>2494</v>
      </c>
      <c r="G968" s="11" t="s">
        <v>113</v>
      </c>
      <c r="H968" s="18" t="str">
        <f>IFERROR(INDEX('المحافظات Governorates'!$E$2:$E$151,MATCH(D968,'المحافظات Governorates'!$A$2:$A$151,0)),"")</f>
        <v>Tathlith</v>
      </c>
      <c r="I968" s="18" t="str">
        <f>IFERROR(INDEX('المناطق Regions'!$C$2:$C$15,MATCH(B968,'المناطق Regions'!$A$2:$A$15,0)),"")</f>
        <v>Aseer</v>
      </c>
      <c r="J968" s="18" t="str">
        <f>F968&amp;", "&amp;E968&amp;", Saudi Arabia"</f>
        <v>الزرق, تثليث, Saudi Arabia</v>
      </c>
      <c r="K968" s="18">
        <v>19.467742</v>
      </c>
      <c r="L968" s="18">
        <v>43.804408</v>
      </c>
      <c r="M968" s="18">
        <v>2000</v>
      </c>
      <c r="N968" s="18" t="s">
        <v>562</v>
      </c>
    </row>
    <row r="969" ht="15" customHeight="1" spans="1:14" x14ac:dyDescent="0.25">
      <c r="A969" s="13" t="s">
        <v>2495</v>
      </c>
      <c r="B969" s="13">
        <v>6</v>
      </c>
      <c r="C969" s="14" t="s">
        <v>65</v>
      </c>
      <c r="D969" s="13" t="s">
        <v>350</v>
      </c>
      <c r="E969" s="14" t="s">
        <v>351</v>
      </c>
      <c r="F969" s="14" t="s">
        <v>2496</v>
      </c>
      <c r="G969" s="13" t="s">
        <v>113</v>
      </c>
      <c r="H969" s="18" t="str">
        <f>IFERROR(INDEX('المحافظات Governorates'!$E$2:$E$151,MATCH(D969,'المحافظات Governorates'!$A$2:$A$151,0)),"")</f>
        <v>Tathlith</v>
      </c>
      <c r="I969" s="18" t="str">
        <f>IFERROR(INDEX('المناطق Regions'!$C$2:$C$15,MATCH(B969,'المناطق Regions'!$A$2:$A$15,0)),"")</f>
        <v>Aseer</v>
      </c>
      <c r="J969" s="18" t="str">
        <f>F969&amp;", "&amp;E969&amp;", Saudi Arabia"</f>
        <v>جاش, تثليث, Saudi Arabia</v>
      </c>
      <c r="K969" s="18">
        <v>19.373229</v>
      </c>
      <c r="L969" s="18">
        <v>43.452238</v>
      </c>
      <c r="M969" s="18">
        <v>2000</v>
      </c>
      <c r="N969" s="18" t="s">
        <v>562</v>
      </c>
    </row>
    <row r="970" ht="15" customHeight="1" spans="1:14" x14ac:dyDescent="0.25">
      <c r="A970" s="11" t="s">
        <v>2497</v>
      </c>
      <c r="B970" s="11">
        <v>6</v>
      </c>
      <c r="C970" s="12" t="s">
        <v>65</v>
      </c>
      <c r="D970" s="11" t="s">
        <v>350</v>
      </c>
      <c r="E970" s="12" t="s">
        <v>351</v>
      </c>
      <c r="F970" s="12" t="s">
        <v>2498</v>
      </c>
      <c r="G970" s="11" t="s">
        <v>149</v>
      </c>
      <c r="H970" s="18" t="str">
        <f>IFERROR(INDEX('المحافظات Governorates'!$E$2:$E$151,MATCH(D970,'المحافظات Governorates'!$A$2:$A$151,0)),"")</f>
        <v>Tathlith</v>
      </c>
      <c r="I970" s="18" t="str">
        <f>IFERROR(INDEX('المناطق Regions'!$C$2:$C$15,MATCH(B970,'المناطق Regions'!$A$2:$A$15,0)),"")</f>
        <v>Aseer</v>
      </c>
      <c r="J970" s="18" t="str">
        <f>F970&amp;", "&amp;E970&amp;", Saudi Arabia"</f>
        <v>الفرع, تثليث, Saudi Arabia</v>
      </c>
      <c r="K970" s="18">
        <v>18.578859</v>
      </c>
      <c r="L970" s="18">
        <v>43.91043</v>
      </c>
      <c r="M970" s="18">
        <v>2000</v>
      </c>
      <c r="N970" s="18" t="s">
        <v>562</v>
      </c>
    </row>
    <row r="971" ht="15" customHeight="1" spans="1:14" x14ac:dyDescent="0.25">
      <c r="A971" s="13" t="s">
        <v>2499</v>
      </c>
      <c r="B971" s="13">
        <v>6</v>
      </c>
      <c r="C971" s="14" t="s">
        <v>65</v>
      </c>
      <c r="D971" s="13" t="s">
        <v>350</v>
      </c>
      <c r="E971" s="14" t="s">
        <v>351</v>
      </c>
      <c r="F971" s="14" t="s">
        <v>2500</v>
      </c>
      <c r="G971" s="13" t="s">
        <v>149</v>
      </c>
      <c r="H971" s="18" t="str">
        <f>IFERROR(INDEX('المحافظات Governorates'!$E$2:$E$151,MATCH(D971,'المحافظات Governorates'!$A$2:$A$151,0)),"")</f>
        <v>Tathlith</v>
      </c>
      <c r="I971" s="18" t="str">
        <f>IFERROR(INDEX('المناطق Regions'!$C$2:$C$15,MATCH(B971,'المناطق Regions'!$A$2:$A$15,0)),"")</f>
        <v>Aseer</v>
      </c>
      <c r="J971" s="18" t="str">
        <f>F971&amp;", "&amp;E971&amp;", Saudi Arabia"</f>
        <v>ثجر سويدان, تثليث, Saudi Arabia</v>
      </c>
      <c r="K971" s="18">
        <v>18.362982</v>
      </c>
      <c r="L971" s="18">
        <v>43.796692</v>
      </c>
      <c r="M971" s="18">
        <v>2000</v>
      </c>
      <c r="N971" s="18" t="s">
        <v>562</v>
      </c>
    </row>
    <row r="972" ht="15" customHeight="1" spans="1:14" x14ac:dyDescent="0.25">
      <c r="A972" s="11" t="s">
        <v>2501</v>
      </c>
      <c r="B972" s="11">
        <v>6</v>
      </c>
      <c r="C972" s="12" t="s">
        <v>65</v>
      </c>
      <c r="D972" s="11" t="s">
        <v>350</v>
      </c>
      <c r="E972" s="12" t="s">
        <v>351</v>
      </c>
      <c r="F972" s="12" t="s">
        <v>2502</v>
      </c>
      <c r="G972" s="11" t="s">
        <v>149</v>
      </c>
      <c r="H972" s="18" t="str">
        <f>IFERROR(INDEX('المحافظات Governorates'!$E$2:$E$151,MATCH(D972,'المحافظات Governorates'!$A$2:$A$151,0)),"")</f>
        <v>Tathlith</v>
      </c>
      <c r="I972" s="18" t="str">
        <f>IFERROR(INDEX('المناطق Regions'!$C$2:$C$15,MATCH(B972,'المناطق Regions'!$A$2:$A$15,0)),"")</f>
        <v>Aseer</v>
      </c>
      <c r="J972" s="18" t="str">
        <f>F972&amp;", "&amp;E972&amp;", Saudi Arabia"</f>
        <v>عماير ال حميدان, تثليث, Saudi Arabia</v>
      </c>
      <c r="K972" s="18">
        <v>18.906192</v>
      </c>
      <c r="L972" s="18">
        <v>43.62735</v>
      </c>
      <c r="M972" s="18">
        <v>2000</v>
      </c>
      <c r="N972" s="18" t="s">
        <v>562</v>
      </c>
    </row>
    <row r="973" ht="15" customHeight="1" spans="1:14" x14ac:dyDescent="0.25">
      <c r="A973" s="13" t="s">
        <v>2503</v>
      </c>
      <c r="B973" s="13">
        <v>6</v>
      </c>
      <c r="C973" s="14" t="s">
        <v>65</v>
      </c>
      <c r="D973" s="13" t="s">
        <v>350</v>
      </c>
      <c r="E973" s="14" t="s">
        <v>351</v>
      </c>
      <c r="F973" s="14" t="s">
        <v>2504</v>
      </c>
      <c r="G973" s="13" t="s">
        <v>149</v>
      </c>
      <c r="H973" s="18" t="str">
        <f>IFERROR(INDEX('المحافظات Governorates'!$E$2:$E$151,MATCH(D973,'المحافظات Governorates'!$A$2:$A$151,0)),"")</f>
        <v>Tathlith</v>
      </c>
      <c r="I973" s="18" t="str">
        <f>IFERROR(INDEX('المناطق Regions'!$C$2:$C$15,MATCH(B973,'المناطق Regions'!$A$2:$A$15,0)),"")</f>
        <v>Aseer</v>
      </c>
      <c r="J973" s="18" t="str">
        <f>F973&amp;", "&amp;E973&amp;", Saudi Arabia"</f>
        <v>النهدين, تثليث, Saudi Arabia</v>
      </c>
      <c r="K973" s="18">
        <v>18.561691</v>
      </c>
      <c r="L973" s="18">
        <v>43.741341</v>
      </c>
      <c r="M973" s="18">
        <v>2000</v>
      </c>
      <c r="N973" s="18" t="s">
        <v>562</v>
      </c>
    </row>
    <row r="974" ht="15" customHeight="1" spans="1:14" x14ac:dyDescent="0.25">
      <c r="A974" s="11" t="s">
        <v>2505</v>
      </c>
      <c r="B974" s="11">
        <v>6</v>
      </c>
      <c r="C974" s="12" t="s">
        <v>65</v>
      </c>
      <c r="D974" s="11" t="s">
        <v>350</v>
      </c>
      <c r="E974" s="12" t="s">
        <v>351</v>
      </c>
      <c r="F974" s="12" t="s">
        <v>2506</v>
      </c>
      <c r="G974" s="11" t="s">
        <v>149</v>
      </c>
      <c r="H974" s="18" t="str">
        <f>IFERROR(INDEX('المحافظات Governorates'!$E$2:$E$151,MATCH(D974,'المحافظات Governorates'!$A$2:$A$151,0)),"")</f>
        <v>Tathlith</v>
      </c>
      <c r="I974" s="18" t="str">
        <f>IFERROR(INDEX('المناطق Regions'!$C$2:$C$15,MATCH(B974,'المناطق Regions'!$A$2:$A$15,0)),"")</f>
        <v>Aseer</v>
      </c>
      <c r="J974" s="18" t="str">
        <f>F974&amp;", "&amp;E974&amp;", Saudi Arabia"</f>
        <v>الرهوة, تثليث, Saudi Arabia</v>
      </c>
      <c r="K974" s="18">
        <v>19.647885</v>
      </c>
      <c r="L974" s="18">
        <v>43.659661</v>
      </c>
      <c r="M974" s="18">
        <v>163492</v>
      </c>
      <c r="N974" s="18" t="s">
        <v>2484</v>
      </c>
    </row>
    <row r="975" ht="15" customHeight="1" spans="1:14" x14ac:dyDescent="0.25">
      <c r="A975" s="13" t="s">
        <v>2507</v>
      </c>
      <c r="B975" s="13">
        <v>6</v>
      </c>
      <c r="C975" s="14" t="s">
        <v>65</v>
      </c>
      <c r="D975" s="13" t="s">
        <v>350</v>
      </c>
      <c r="E975" s="14" t="s">
        <v>351</v>
      </c>
      <c r="F975" s="14" t="s">
        <v>2508</v>
      </c>
      <c r="G975" s="13" t="s">
        <v>149</v>
      </c>
      <c r="H975" s="18" t="str">
        <f>IFERROR(INDEX('المحافظات Governorates'!$E$2:$E$151,MATCH(D975,'المحافظات Governorates'!$A$2:$A$151,0)),"")</f>
        <v>Tathlith</v>
      </c>
      <c r="I975" s="18" t="str">
        <f>IFERROR(INDEX('المناطق Regions'!$C$2:$C$15,MATCH(B975,'المناطق Regions'!$A$2:$A$15,0)),"")</f>
        <v>Aseer</v>
      </c>
      <c r="J975" s="18" t="str">
        <f>F975&amp;", "&amp;E975&amp;", Saudi Arabia"</f>
        <v>العزيزية, تثليث, Saudi Arabia</v>
      </c>
      <c r="K975" s="18">
        <v>18.621631</v>
      </c>
      <c r="L975" s="18">
        <v>43.614826</v>
      </c>
      <c r="M975" s="18">
        <v>2000</v>
      </c>
      <c r="N975" s="18" t="s">
        <v>562</v>
      </c>
    </row>
    <row r="976" ht="15" customHeight="1" spans="1:14" x14ac:dyDescent="0.25">
      <c r="A976" s="11" t="s">
        <v>2509</v>
      </c>
      <c r="B976" s="11">
        <v>6</v>
      </c>
      <c r="C976" s="12" t="s">
        <v>65</v>
      </c>
      <c r="D976" s="11" t="s">
        <v>350</v>
      </c>
      <c r="E976" s="12" t="s">
        <v>351</v>
      </c>
      <c r="F976" s="12" t="s">
        <v>2510</v>
      </c>
      <c r="G976" s="11" t="s">
        <v>149</v>
      </c>
      <c r="H976" s="18" t="str">
        <f>IFERROR(INDEX('المحافظات Governorates'!$E$2:$E$151,MATCH(D976,'المحافظات Governorates'!$A$2:$A$151,0)),"")</f>
        <v>Tathlith</v>
      </c>
      <c r="I976" s="18" t="str">
        <f>IFERROR(INDEX('المناطق Regions'!$C$2:$C$15,MATCH(B976,'المناطق Regions'!$A$2:$A$15,0)),"")</f>
        <v>Aseer</v>
      </c>
      <c r="J976" s="18" t="str">
        <f>F976&amp;", "&amp;E976&amp;", Saudi Arabia"</f>
        <v>بيضان, تثليث, Saudi Arabia</v>
      </c>
      <c r="K976" s="18">
        <v>18.866299</v>
      </c>
      <c r="L976" s="18">
        <v>43.944546</v>
      </c>
      <c r="M976" s="18">
        <v>2000</v>
      </c>
      <c r="N976" s="18" t="s">
        <v>562</v>
      </c>
    </row>
    <row r="977" ht="15" customHeight="1" spans="1:14" x14ac:dyDescent="0.25">
      <c r="A977" s="13" t="s">
        <v>2511</v>
      </c>
      <c r="B977" s="13">
        <v>6</v>
      </c>
      <c r="C977" s="14" t="s">
        <v>65</v>
      </c>
      <c r="D977" s="13" t="s">
        <v>350</v>
      </c>
      <c r="E977" s="14" t="s">
        <v>351</v>
      </c>
      <c r="F977" s="14" t="s">
        <v>2512</v>
      </c>
      <c r="G977" s="13" t="s">
        <v>149</v>
      </c>
      <c r="H977" s="18" t="str">
        <f>IFERROR(INDEX('المحافظات Governorates'!$E$2:$E$151,MATCH(D977,'المحافظات Governorates'!$A$2:$A$151,0)),"")</f>
        <v>Tathlith</v>
      </c>
      <c r="I977" s="18" t="str">
        <f>IFERROR(INDEX('المناطق Regions'!$C$2:$C$15,MATCH(B977,'المناطق Regions'!$A$2:$A$15,0)),"")</f>
        <v>Aseer</v>
      </c>
      <c r="J977" s="18" t="str">
        <f>F977&amp;", "&amp;E977&amp;", Saudi Arabia"</f>
        <v>كحلان, تثليث, Saudi Arabia</v>
      </c>
      <c r="K977" s="18">
        <v>19.668488</v>
      </c>
      <c r="L977" s="18">
        <v>43.200029</v>
      </c>
      <c r="M977" s="18">
        <v>2000</v>
      </c>
      <c r="N977" s="18" t="s">
        <v>562</v>
      </c>
    </row>
    <row r="978" ht="15" customHeight="1" spans="1:14" x14ac:dyDescent="0.25">
      <c r="A978" s="11" t="s">
        <v>2513</v>
      </c>
      <c r="B978" s="11">
        <v>6</v>
      </c>
      <c r="C978" s="12" t="s">
        <v>65</v>
      </c>
      <c r="D978" s="11" t="s">
        <v>357</v>
      </c>
      <c r="E978" s="12" t="s">
        <v>358</v>
      </c>
      <c r="F978" s="12" t="s">
        <v>2514</v>
      </c>
      <c r="G978" s="11" t="s">
        <v>113</v>
      </c>
      <c r="H978" s="18" t="str">
        <f>IFERROR(INDEX('المحافظات Governorates'!$E$2:$E$151,MATCH(D978,'المحافظات Governorates'!$A$2:$A$151,0)),"")</f>
        <v>Rijal Almaa</v>
      </c>
      <c r="I978" s="18" t="str">
        <f>IFERROR(INDEX('المناطق Regions'!$C$2:$C$15,MATCH(B978,'المناطق Regions'!$A$2:$A$15,0)),"")</f>
        <v>Aseer</v>
      </c>
      <c r="J978" s="18" t="str">
        <f>F978&amp;", "&amp;E978&amp;", Saudi Arabia"</f>
        <v>حسوه, رجال المع, Saudi Arabia</v>
      </c>
      <c r="K978" s="18">
        <v>18.13634</v>
      </c>
      <c r="L978" s="18">
        <v>42.317138</v>
      </c>
      <c r="M978" s="18">
        <v>2000</v>
      </c>
      <c r="N978" s="18" t="s">
        <v>562</v>
      </c>
    </row>
    <row r="979" ht="15" customHeight="1" spans="1:14" x14ac:dyDescent="0.25">
      <c r="A979" s="13" t="s">
        <v>2515</v>
      </c>
      <c r="B979" s="13">
        <v>6</v>
      </c>
      <c r="C979" s="14" t="s">
        <v>65</v>
      </c>
      <c r="D979" s="13" t="s">
        <v>357</v>
      </c>
      <c r="E979" s="14" t="s">
        <v>358</v>
      </c>
      <c r="F979" s="14" t="s">
        <v>2516</v>
      </c>
      <c r="G979" s="13" t="s">
        <v>113</v>
      </c>
      <c r="H979" s="18" t="str">
        <f>IFERROR(INDEX('المحافظات Governorates'!$E$2:$E$151,MATCH(D979,'المحافظات Governorates'!$A$2:$A$151,0)),"")</f>
        <v>Rijal Almaa</v>
      </c>
      <c r="I979" s="18" t="str">
        <f>IFERROR(INDEX('المناطق Regions'!$C$2:$C$15,MATCH(B979,'المناطق Regions'!$A$2:$A$15,0)),"")</f>
        <v>Aseer</v>
      </c>
      <c r="J979" s="18" t="str">
        <f>F979&amp;", "&amp;E979&amp;", Saudi Arabia"</f>
        <v>الحبيل, رجال المع, Saudi Arabia</v>
      </c>
      <c r="K979" s="18">
        <v>18.089207</v>
      </c>
      <c r="L979" s="18">
        <v>42.226975</v>
      </c>
      <c r="M979" s="18">
        <v>2000</v>
      </c>
      <c r="N979" s="18" t="s">
        <v>642</v>
      </c>
    </row>
    <row r="980" ht="15" customHeight="1" spans="1:14" x14ac:dyDescent="0.25">
      <c r="A980" s="11" t="s">
        <v>2517</v>
      </c>
      <c r="B980" s="11">
        <v>6</v>
      </c>
      <c r="C980" s="12" t="s">
        <v>65</v>
      </c>
      <c r="D980" s="11" t="s">
        <v>357</v>
      </c>
      <c r="E980" s="12" t="s">
        <v>358</v>
      </c>
      <c r="F980" s="12" t="s">
        <v>2518</v>
      </c>
      <c r="G980" s="11" t="s">
        <v>113</v>
      </c>
      <c r="H980" s="18" t="str">
        <f>IFERROR(INDEX('المحافظات Governorates'!$E$2:$E$151,MATCH(D980,'المحافظات Governorates'!$A$2:$A$151,0)),"")</f>
        <v>Rijal Almaa</v>
      </c>
      <c r="I980" s="18" t="str">
        <f>IFERROR(INDEX('المناطق Regions'!$C$2:$C$15,MATCH(B980,'المناطق Regions'!$A$2:$A$15,0)),"")</f>
        <v>Aseer</v>
      </c>
      <c r="J980" s="18" t="str">
        <f>F980&amp;", "&amp;E980&amp;", Saudi Arabia"</f>
        <v>الحريضه, رجال المع, Saudi Arabia</v>
      </c>
      <c r="K980" s="18">
        <v>17.800276</v>
      </c>
      <c r="L980" s="18">
        <v>41.944715</v>
      </c>
      <c r="M980" s="18">
        <v>2000</v>
      </c>
      <c r="N980" s="18" t="s">
        <v>642</v>
      </c>
    </row>
    <row r="981" ht="15" customHeight="1" spans="1:14" x14ac:dyDescent="0.25">
      <c r="A981" s="13" t="s">
        <v>2519</v>
      </c>
      <c r="B981" s="13">
        <v>6</v>
      </c>
      <c r="C981" s="14" t="s">
        <v>65</v>
      </c>
      <c r="D981" s="13" t="s">
        <v>357</v>
      </c>
      <c r="E981" s="14" t="s">
        <v>358</v>
      </c>
      <c r="F981" s="14" t="s">
        <v>2520</v>
      </c>
      <c r="G981" s="13" t="s">
        <v>149</v>
      </c>
      <c r="H981" s="18" t="str">
        <f>IFERROR(INDEX('المحافظات Governorates'!$E$2:$E$151,MATCH(D981,'المحافظات Governorates'!$A$2:$A$151,0)),"")</f>
        <v>Rijal Almaa</v>
      </c>
      <c r="I981" s="18" t="str">
        <f>IFERROR(INDEX('المناطق Regions'!$C$2:$C$15,MATCH(B981,'المناطق Regions'!$A$2:$A$15,0)),"")</f>
        <v>Aseer</v>
      </c>
      <c r="J981" s="18" t="str">
        <f>F981&amp;", "&amp;E981&amp;", Saudi Arabia"</f>
        <v>روام, رجال المع, Saudi Arabia</v>
      </c>
      <c r="K981" s="18">
        <v>18.35368</v>
      </c>
      <c r="L981" s="18">
        <v>42.069599</v>
      </c>
      <c r="M981" s="18">
        <v>2000</v>
      </c>
      <c r="N981" s="18" t="s">
        <v>642</v>
      </c>
    </row>
    <row r="982" ht="15" customHeight="1" spans="1:14" x14ac:dyDescent="0.25">
      <c r="A982" s="11" t="s">
        <v>2521</v>
      </c>
      <c r="B982" s="11">
        <v>6</v>
      </c>
      <c r="C982" s="12" t="s">
        <v>65</v>
      </c>
      <c r="D982" s="11" t="s">
        <v>357</v>
      </c>
      <c r="E982" s="12" t="s">
        <v>358</v>
      </c>
      <c r="F982" s="12" t="s">
        <v>2522</v>
      </c>
      <c r="G982" s="11" t="s">
        <v>149</v>
      </c>
      <c r="H982" s="18" t="str">
        <f>IFERROR(INDEX('المحافظات Governorates'!$E$2:$E$151,MATCH(D982,'المحافظات Governorates'!$A$2:$A$151,0)),"")</f>
        <v>Rijal Almaa</v>
      </c>
      <c r="I982" s="18" t="str">
        <f>IFERROR(INDEX('المناطق Regions'!$C$2:$C$15,MATCH(B982,'المناطق Regions'!$A$2:$A$15,0)),"")</f>
        <v>Aseer</v>
      </c>
      <c r="J982" s="18" t="str">
        <f>F982&amp;", "&amp;E982&amp;", Saudi Arabia"</f>
        <v>وسانب, رجال المع, Saudi Arabia</v>
      </c>
      <c r="K982" s="18">
        <v>18.095035</v>
      </c>
      <c r="L982" s="18">
        <v>42.138768</v>
      </c>
      <c r="M982" s="18">
        <v>50739</v>
      </c>
      <c r="N982" s="18" t="s">
        <v>2523</v>
      </c>
    </row>
    <row r="983" ht="15" customHeight="1" spans="1:14" x14ac:dyDescent="0.25">
      <c r="A983" s="13" t="s">
        <v>2524</v>
      </c>
      <c r="B983" s="13">
        <v>6</v>
      </c>
      <c r="C983" s="14" t="s">
        <v>65</v>
      </c>
      <c r="D983" s="13" t="s">
        <v>360</v>
      </c>
      <c r="E983" s="14" t="s">
        <v>361</v>
      </c>
      <c r="F983" s="14" t="s">
        <v>2525</v>
      </c>
      <c r="G983" s="13" t="s">
        <v>113</v>
      </c>
      <c r="H983" s="18" t="str">
        <f>IFERROR(INDEX('المحافظات Governorates'!$E$2:$E$151,MATCH(D983,'المحافظات Governorates'!$A$2:$A$151,0)),"")</f>
        <v>Ahad Rufaydah</v>
      </c>
      <c r="I983" s="18" t="str">
        <f>IFERROR(INDEX('المناطق Regions'!$C$2:$C$15,MATCH(B983,'المناطق Regions'!$A$2:$A$15,0)),"")</f>
        <v>Aseer</v>
      </c>
      <c r="J983" s="18" t="str">
        <f>F983&amp;", "&amp;E983&amp;", Saudi Arabia"</f>
        <v>الواديين, احد رفيده, Saudi Arabia</v>
      </c>
      <c r="K983" s="18">
        <v>18.085573</v>
      </c>
      <c r="L983" s="18">
        <v>42.802538</v>
      </c>
      <c r="M983" s="18">
        <v>2000</v>
      </c>
      <c r="N983" s="18" t="s">
        <v>562</v>
      </c>
    </row>
    <row r="984" ht="15" customHeight="1" spans="1:14" x14ac:dyDescent="0.25">
      <c r="A984" s="11" t="s">
        <v>2526</v>
      </c>
      <c r="B984" s="11">
        <v>6</v>
      </c>
      <c r="C984" s="12" t="s">
        <v>65</v>
      </c>
      <c r="D984" s="11" t="s">
        <v>360</v>
      </c>
      <c r="E984" s="12" t="s">
        <v>361</v>
      </c>
      <c r="F984" s="12" t="s">
        <v>2527</v>
      </c>
      <c r="G984" s="11" t="s">
        <v>149</v>
      </c>
      <c r="H984" s="18" t="str">
        <f>IFERROR(INDEX('المحافظات Governorates'!$E$2:$E$151,MATCH(D984,'المحافظات Governorates'!$A$2:$A$151,0)),"")</f>
        <v>Ahad Rufaydah</v>
      </c>
      <c r="I984" s="18" t="str">
        <f>IFERROR(INDEX('المناطق Regions'!$C$2:$C$15,MATCH(B984,'المناطق Regions'!$A$2:$A$15,0)),"")</f>
        <v>Aseer</v>
      </c>
      <c r="J984" s="18" t="str">
        <f>F984&amp;", "&amp;E984&amp;", Saudi Arabia"</f>
        <v>الفرعين, احد رفيده, Saudi Arabia</v>
      </c>
      <c r="K984" s="18">
        <v>18.14731</v>
      </c>
      <c r="L984" s="18">
        <v>42.963323</v>
      </c>
      <c r="M984" s="18">
        <v>2000</v>
      </c>
      <c r="N984" s="18" t="s">
        <v>562</v>
      </c>
    </row>
    <row r="985" ht="15" customHeight="1" spans="1:14" x14ac:dyDescent="0.25">
      <c r="A985" s="13" t="s">
        <v>2528</v>
      </c>
      <c r="B985" s="13">
        <v>6</v>
      </c>
      <c r="C985" s="14" t="s">
        <v>65</v>
      </c>
      <c r="D985" s="13" t="s">
        <v>360</v>
      </c>
      <c r="E985" s="14" t="s">
        <v>361</v>
      </c>
      <c r="F985" s="14" t="s">
        <v>2529</v>
      </c>
      <c r="G985" s="13" t="s">
        <v>149</v>
      </c>
      <c r="H985" s="18" t="str">
        <f>IFERROR(INDEX('المحافظات Governorates'!$E$2:$E$151,MATCH(D985,'المحافظات Governorates'!$A$2:$A$151,0)),"")</f>
        <v>Ahad Rufaydah</v>
      </c>
      <c r="I985" s="18" t="str">
        <f>IFERROR(INDEX('المناطق Regions'!$C$2:$C$15,MATCH(B985,'المناطق Regions'!$A$2:$A$15,0)),"")</f>
        <v>Aseer</v>
      </c>
      <c r="J985" s="18" t="str">
        <f>F985&amp;", "&amp;E985&amp;", Saudi Arabia"</f>
        <v>شعف جارمه, احد رفيده, Saudi Arabia</v>
      </c>
      <c r="K985" s="18">
        <v>18.116877</v>
      </c>
      <c r="L985" s="18">
        <v>42.887859</v>
      </c>
      <c r="M985" s="18">
        <v>27160</v>
      </c>
      <c r="N985" s="18" t="s">
        <v>2530</v>
      </c>
    </row>
    <row r="986" ht="15" customHeight="1" spans="1:14" x14ac:dyDescent="0.25">
      <c r="A986" s="11" t="s">
        <v>2531</v>
      </c>
      <c r="B986" s="11">
        <v>6</v>
      </c>
      <c r="C986" s="12" t="s">
        <v>65</v>
      </c>
      <c r="D986" s="11" t="s">
        <v>363</v>
      </c>
      <c r="E986" s="12" t="s">
        <v>364</v>
      </c>
      <c r="F986" s="12" t="s">
        <v>2532</v>
      </c>
      <c r="G986" s="11" t="s">
        <v>149</v>
      </c>
      <c r="H986" s="18" t="str">
        <f>IFERROR(INDEX('المحافظات Governorates'!$E$2:$E$151,MATCH(D986,'المحافظات Governorates'!$A$2:$A$151,0)),"")</f>
        <v>Dhahran Al-Janub</v>
      </c>
      <c r="I986" s="18" t="str">
        <f>IFERROR(INDEX('المناطق Regions'!$C$2:$C$15,MATCH(B986,'المناطق Regions'!$A$2:$A$15,0)),"")</f>
        <v>Aseer</v>
      </c>
      <c r="J986" s="18" t="str">
        <f>F986&amp;", "&amp;E986&amp;", Saudi Arabia"</f>
        <v>الفيض, ظهران الجنوب, Saudi Arabia</v>
      </c>
      <c r="K986" s="18">
        <v>17.646201</v>
      </c>
      <c r="L986" s="18">
        <v>43.505178</v>
      </c>
      <c r="M986" s="18">
        <v>40000</v>
      </c>
      <c r="N986" s="18" t="s">
        <v>1130</v>
      </c>
    </row>
    <row r="987" ht="15" customHeight="1" spans="1:14" x14ac:dyDescent="0.25">
      <c r="A987" s="13" t="s">
        <v>2533</v>
      </c>
      <c r="B987" s="13">
        <v>6</v>
      </c>
      <c r="C987" s="14" t="s">
        <v>65</v>
      </c>
      <c r="D987" s="13" t="s">
        <v>363</v>
      </c>
      <c r="E987" s="14" t="s">
        <v>364</v>
      </c>
      <c r="F987" s="14" t="s">
        <v>2534</v>
      </c>
      <c r="G987" s="13" t="s">
        <v>113</v>
      </c>
      <c r="H987" s="18" t="str">
        <f>IFERROR(INDEX('المحافظات Governorates'!$E$2:$E$151,MATCH(D987,'المحافظات Governorates'!$A$2:$A$151,0)),"")</f>
        <v>Dhahran Al-Janub</v>
      </c>
      <c r="I987" s="18" t="str">
        <f>IFERROR(INDEX('المناطق Regions'!$C$2:$C$15,MATCH(B987,'المناطق Regions'!$A$2:$A$15,0)),"")</f>
        <v>Aseer</v>
      </c>
      <c r="J987" s="18" t="str">
        <f>F987&amp;", "&amp;E987&amp;", Saudi Arabia"</f>
        <v>علب, ظهران الجنوب, Saudi Arabia</v>
      </c>
      <c r="K987" s="18">
        <v>17.556245</v>
      </c>
      <c r="L987" s="18">
        <v>43.458902</v>
      </c>
      <c r="M987" s="18">
        <v>2000</v>
      </c>
      <c r="N987" s="18" t="s">
        <v>642</v>
      </c>
    </row>
    <row r="988" ht="15" customHeight="1" spans="1:14" x14ac:dyDescent="0.25">
      <c r="A988" s="11" t="s">
        <v>2535</v>
      </c>
      <c r="B988" s="11">
        <v>6</v>
      </c>
      <c r="C988" s="12" t="s">
        <v>65</v>
      </c>
      <c r="D988" s="11" t="s">
        <v>363</v>
      </c>
      <c r="E988" s="12" t="s">
        <v>364</v>
      </c>
      <c r="F988" s="12" t="s">
        <v>2536</v>
      </c>
      <c r="G988" s="11" t="s">
        <v>149</v>
      </c>
      <c r="H988" s="18" t="str">
        <f>IFERROR(INDEX('المحافظات Governorates'!$E$2:$E$151,MATCH(D988,'المحافظات Governorates'!$A$2:$A$151,0)),"")</f>
        <v>Dhahran Al-Janub</v>
      </c>
      <c r="I988" s="18" t="str">
        <f>IFERROR(INDEX('المناطق Regions'!$C$2:$C$15,MATCH(B988,'المناطق Regions'!$A$2:$A$15,0)),"")</f>
        <v>Aseer</v>
      </c>
      <c r="J988" s="18" t="str">
        <f>F988&amp;", "&amp;E988&amp;", Saudi Arabia"</f>
        <v>الغائل, ظهران الجنوب, Saudi Arabia</v>
      </c>
      <c r="K988" s="18">
        <v>17.665928</v>
      </c>
      <c r="L988" s="18">
        <v>43.312784</v>
      </c>
      <c r="M988" s="18">
        <v>2000</v>
      </c>
      <c r="N988" s="18" t="s">
        <v>642</v>
      </c>
    </row>
    <row r="989" ht="15" customHeight="1" spans="1:14" x14ac:dyDescent="0.25">
      <c r="A989" s="13" t="s">
        <v>2537</v>
      </c>
      <c r="B989" s="13">
        <v>6</v>
      </c>
      <c r="C989" s="14" t="s">
        <v>65</v>
      </c>
      <c r="D989" s="13" t="s">
        <v>363</v>
      </c>
      <c r="E989" s="14" t="s">
        <v>364</v>
      </c>
      <c r="F989" s="14" t="s">
        <v>2538</v>
      </c>
      <c r="G989" s="13" t="s">
        <v>149</v>
      </c>
      <c r="H989" s="18" t="str">
        <f>IFERROR(INDEX('المحافظات Governorates'!$E$2:$E$151,MATCH(D989,'المحافظات Governorates'!$A$2:$A$151,0)),"")</f>
        <v>Dhahran Al-Janub</v>
      </c>
      <c r="I989" s="18" t="str">
        <f>IFERROR(INDEX('المناطق Regions'!$C$2:$C$15,MATCH(B989,'المناطق Regions'!$A$2:$A$15,0)),"")</f>
        <v>Aseer</v>
      </c>
      <c r="J989" s="18" t="str">
        <f>F989&amp;", "&amp;E989&amp;", Saudi Arabia"</f>
        <v>الحمرة, ظهران الجنوب, Saudi Arabia</v>
      </c>
      <c r="K989" s="18">
        <v>17.806524</v>
      </c>
      <c r="L989" s="18">
        <v>43.454503</v>
      </c>
      <c r="M989" s="18">
        <v>2000</v>
      </c>
      <c r="N989" s="18" t="s">
        <v>642</v>
      </c>
    </row>
    <row r="990" ht="15" customHeight="1" spans="1:14" x14ac:dyDescent="0.25">
      <c r="A990" s="11" t="s">
        <v>2539</v>
      </c>
      <c r="B990" s="11">
        <v>6</v>
      </c>
      <c r="C990" s="12" t="s">
        <v>65</v>
      </c>
      <c r="D990" s="11" t="s">
        <v>363</v>
      </c>
      <c r="E990" s="12" t="s">
        <v>364</v>
      </c>
      <c r="F990" s="12" t="s">
        <v>2540</v>
      </c>
      <c r="G990" s="11" t="s">
        <v>149</v>
      </c>
      <c r="H990" s="18" t="str">
        <f>IFERROR(INDEX('المحافظات Governorates'!$E$2:$E$151,MATCH(D990,'المحافظات Governorates'!$A$2:$A$151,0)),"")</f>
        <v>Dhahran Al-Janub</v>
      </c>
      <c r="I990" s="18" t="str">
        <f>IFERROR(INDEX('المناطق Regions'!$C$2:$C$15,MATCH(B990,'المناطق Regions'!$A$2:$A$15,0)),"")</f>
        <v>Aseer</v>
      </c>
      <c r="J990" s="18" t="str">
        <f>F990&amp;", "&amp;E990&amp;", Saudi Arabia"</f>
        <v>الحاجر, ظهران الجنوب, Saudi Arabia</v>
      </c>
      <c r="K990" s="18">
        <v>17.501693</v>
      </c>
      <c r="L990" s="18">
        <v>43.621817</v>
      </c>
      <c r="M990" s="18">
        <v>2000</v>
      </c>
      <c r="N990" s="18" t="s">
        <v>642</v>
      </c>
    </row>
    <row r="991" ht="15" customHeight="1" spans="1:14" x14ac:dyDescent="0.25">
      <c r="A991" s="13" t="s">
        <v>2541</v>
      </c>
      <c r="B991" s="13">
        <v>6</v>
      </c>
      <c r="C991" s="14" t="s">
        <v>65</v>
      </c>
      <c r="D991" s="13" t="s">
        <v>363</v>
      </c>
      <c r="E991" s="14" t="s">
        <v>364</v>
      </c>
      <c r="F991" s="14" t="s">
        <v>2542</v>
      </c>
      <c r="G991" s="13" t="s">
        <v>149</v>
      </c>
      <c r="H991" s="18" t="str">
        <f>IFERROR(INDEX('المحافظات Governorates'!$E$2:$E$151,MATCH(D991,'المحافظات Governorates'!$A$2:$A$151,0)),"")</f>
        <v>Dhahran Al-Janub</v>
      </c>
      <c r="I991" s="18" t="str">
        <f>IFERROR(INDEX('المناطق Regions'!$C$2:$C$15,MATCH(B991,'المناطق Regions'!$A$2:$A$15,0)),"")</f>
        <v>Aseer</v>
      </c>
      <c r="J991" s="18" t="str">
        <f>F991&amp;", "&amp;E991&amp;", Saudi Arabia"</f>
        <v>كحلاء, ظهران الجنوب, Saudi Arabia</v>
      </c>
      <c r="K991" s="18">
        <v>17.646201</v>
      </c>
      <c r="L991" s="18">
        <v>43.505178</v>
      </c>
      <c r="M991" s="18">
        <v>40000</v>
      </c>
      <c r="N991" s="18" t="s">
        <v>1130</v>
      </c>
    </row>
    <row r="992" ht="15" customHeight="1" spans="1:14" x14ac:dyDescent="0.25">
      <c r="A992" s="11" t="s">
        <v>2543</v>
      </c>
      <c r="B992" s="11">
        <v>6</v>
      </c>
      <c r="C992" s="12" t="s">
        <v>65</v>
      </c>
      <c r="D992" s="11" t="s">
        <v>363</v>
      </c>
      <c r="E992" s="12" t="s">
        <v>364</v>
      </c>
      <c r="F992" s="12" t="s">
        <v>2544</v>
      </c>
      <c r="G992" s="11" t="s">
        <v>149</v>
      </c>
      <c r="H992" s="18" t="str">
        <f>IFERROR(INDEX('المحافظات Governorates'!$E$2:$E$151,MATCH(D992,'المحافظات Governorates'!$A$2:$A$151,0)),"")</f>
        <v>Dhahran Al-Janub</v>
      </c>
      <c r="I992" s="18" t="str">
        <f>IFERROR(INDEX('المناطق Regions'!$C$2:$C$15,MATCH(B992,'المناطق Regions'!$A$2:$A$15,0)),"")</f>
        <v>Aseer</v>
      </c>
      <c r="J992" s="18" t="str">
        <f>F992&amp;", "&amp;E992&amp;", Saudi Arabia"</f>
        <v>النعضاء, ظهران الجنوب, Saudi Arabia</v>
      </c>
      <c r="K992" s="18">
        <v>17.646201</v>
      </c>
      <c r="L992" s="18">
        <v>43.505178</v>
      </c>
      <c r="M992" s="18">
        <v>40000</v>
      </c>
      <c r="N992" s="18" t="s">
        <v>1130</v>
      </c>
    </row>
    <row r="993" ht="15" customHeight="1" spans="1:14" x14ac:dyDescent="0.25">
      <c r="A993" s="13" t="s">
        <v>2545</v>
      </c>
      <c r="B993" s="13">
        <v>6</v>
      </c>
      <c r="C993" s="14" t="s">
        <v>65</v>
      </c>
      <c r="D993" s="13" t="s">
        <v>363</v>
      </c>
      <c r="E993" s="14" t="s">
        <v>364</v>
      </c>
      <c r="F993" s="14" t="s">
        <v>2546</v>
      </c>
      <c r="G993" s="13" t="s">
        <v>149</v>
      </c>
      <c r="H993" s="18" t="str">
        <f>IFERROR(INDEX('المحافظات Governorates'!$E$2:$E$151,MATCH(D993,'المحافظات Governorates'!$A$2:$A$151,0)),"")</f>
        <v>Dhahran Al-Janub</v>
      </c>
      <c r="I993" s="18" t="str">
        <f>IFERROR(INDEX('المناطق Regions'!$C$2:$C$15,MATCH(B993,'المناطق Regions'!$A$2:$A$15,0)),"")</f>
        <v>Aseer</v>
      </c>
      <c r="J993" s="18" t="str">
        <f>F993&amp;", "&amp;E993&amp;", Saudi Arabia"</f>
        <v>الرفغه, ظهران الجنوب, Saudi Arabia</v>
      </c>
      <c r="K993" s="18">
        <v>17.646201</v>
      </c>
      <c r="L993" s="18">
        <v>43.505178</v>
      </c>
      <c r="M993" s="18">
        <v>40000</v>
      </c>
      <c r="N993" s="18" t="s">
        <v>1130</v>
      </c>
    </row>
    <row r="994" ht="15" customHeight="1" spans="1:14" x14ac:dyDescent="0.25">
      <c r="A994" s="11" t="s">
        <v>2547</v>
      </c>
      <c r="B994" s="11">
        <v>6</v>
      </c>
      <c r="C994" s="12" t="s">
        <v>65</v>
      </c>
      <c r="D994" s="11" t="s">
        <v>363</v>
      </c>
      <c r="E994" s="12" t="s">
        <v>364</v>
      </c>
      <c r="F994" s="12" t="s">
        <v>2548</v>
      </c>
      <c r="G994" s="11" t="s">
        <v>149</v>
      </c>
      <c r="H994" s="18" t="str">
        <f>IFERROR(INDEX('المحافظات Governorates'!$E$2:$E$151,MATCH(D994,'المحافظات Governorates'!$A$2:$A$151,0)),"")</f>
        <v>Dhahran Al-Janub</v>
      </c>
      <c r="I994" s="18" t="str">
        <f>IFERROR(INDEX('المناطق Regions'!$C$2:$C$15,MATCH(B994,'المناطق Regions'!$A$2:$A$15,0)),"")</f>
        <v>Aseer</v>
      </c>
      <c r="J994" s="18" t="str">
        <f>F994&amp;", "&amp;E994&amp;", Saudi Arabia"</f>
        <v>الغول, ظهران الجنوب, Saudi Arabia</v>
      </c>
      <c r="K994" s="18">
        <v>17.646201</v>
      </c>
      <c r="L994" s="18">
        <v>43.505178</v>
      </c>
      <c r="M994" s="18">
        <v>40000</v>
      </c>
      <c r="N994" s="18" t="s">
        <v>1130</v>
      </c>
    </row>
    <row r="995" ht="15" customHeight="1" spans="1:14" x14ac:dyDescent="0.25">
      <c r="A995" s="13" t="s">
        <v>2549</v>
      </c>
      <c r="B995" s="13">
        <v>6</v>
      </c>
      <c r="C995" s="14" t="s">
        <v>65</v>
      </c>
      <c r="D995" s="13" t="s">
        <v>366</v>
      </c>
      <c r="E995" s="14" t="s">
        <v>367</v>
      </c>
      <c r="F995" s="14" t="s">
        <v>2550</v>
      </c>
      <c r="G995" s="13" t="s">
        <v>113</v>
      </c>
      <c r="H995" s="18" t="str">
        <f>IFERROR(INDEX('المحافظات Governorates'!$E$2:$E$151,MATCH(D995,'المحافظات Governorates'!$A$2:$A$151,0)),"")</f>
        <v>Balqarn</v>
      </c>
      <c r="I995" s="18" t="str">
        <f>IFERROR(INDEX('المناطق Regions'!$C$2:$C$15,MATCH(B995,'المناطق Regions'!$A$2:$A$15,0)),"")</f>
        <v>Aseer</v>
      </c>
      <c r="J995" s="18" t="str">
        <f>F995&amp;", "&amp;E995&amp;", Saudi Arabia"</f>
        <v>البشائر, بالقرن, Saudi Arabia</v>
      </c>
      <c r="K995" s="18">
        <v>19.740258</v>
      </c>
      <c r="L995" s="18">
        <v>41.919675</v>
      </c>
      <c r="M995" s="18">
        <v>2000</v>
      </c>
      <c r="N995" s="18" t="s">
        <v>562</v>
      </c>
    </row>
    <row r="996" ht="15" customHeight="1" spans="1:14" x14ac:dyDescent="0.25">
      <c r="A996" s="11" t="s">
        <v>2551</v>
      </c>
      <c r="B996" s="11">
        <v>6</v>
      </c>
      <c r="C996" s="12" t="s">
        <v>65</v>
      </c>
      <c r="D996" s="11" t="s">
        <v>366</v>
      </c>
      <c r="E996" s="12" t="s">
        <v>367</v>
      </c>
      <c r="F996" s="12" t="s">
        <v>2552</v>
      </c>
      <c r="G996" s="11" t="s">
        <v>149</v>
      </c>
      <c r="H996" s="18" t="str">
        <f>IFERROR(INDEX('المحافظات Governorates'!$E$2:$E$151,MATCH(D996,'المحافظات Governorates'!$A$2:$A$151,0)),"")</f>
        <v>Balqarn</v>
      </c>
      <c r="I996" s="18" t="str">
        <f>IFERROR(INDEX('المناطق Regions'!$C$2:$C$15,MATCH(B996,'المناطق Regions'!$A$2:$A$15,0)),"")</f>
        <v>Aseer</v>
      </c>
      <c r="J996" s="18" t="str">
        <f>F996&amp;", "&amp;E996&amp;", Saudi Arabia"</f>
        <v>طلالا, بالقرن, Saudi Arabia</v>
      </c>
      <c r="K996" s="18">
        <v>19.56052</v>
      </c>
      <c r="L996" s="18">
        <v>42.077493</v>
      </c>
      <c r="M996" s="18">
        <v>2000</v>
      </c>
      <c r="N996" s="18" t="s">
        <v>562</v>
      </c>
    </row>
    <row r="997" ht="15" customHeight="1" spans="1:14" x14ac:dyDescent="0.25">
      <c r="A997" s="13" t="s">
        <v>2553</v>
      </c>
      <c r="B997" s="13">
        <v>6</v>
      </c>
      <c r="C997" s="14" t="s">
        <v>65</v>
      </c>
      <c r="D997" s="13" t="s">
        <v>366</v>
      </c>
      <c r="E997" s="14" t="s">
        <v>367</v>
      </c>
      <c r="F997" s="14" t="s">
        <v>2554</v>
      </c>
      <c r="G997" s="13" t="s">
        <v>149</v>
      </c>
      <c r="H997" s="18" t="str">
        <f>IFERROR(INDEX('المحافظات Governorates'!$E$2:$E$151,MATCH(D997,'المحافظات Governorates'!$A$2:$A$151,0)),"")</f>
        <v>Balqarn</v>
      </c>
      <c r="I997" s="18" t="str">
        <f>IFERROR(INDEX('المناطق Regions'!$C$2:$C$15,MATCH(B997,'المناطق Regions'!$A$2:$A$15,0)),"")</f>
        <v>Aseer</v>
      </c>
      <c r="J997" s="18" t="str">
        <f>F997&amp;", "&amp;E997&amp;", Saudi Arabia"</f>
        <v>عفراء, بالقرن, Saudi Arabia</v>
      </c>
      <c r="K997" s="18">
        <v>19.694174</v>
      </c>
      <c r="L997" s="18">
        <v>42.023879</v>
      </c>
      <c r="M997" s="18">
        <v>2000</v>
      </c>
      <c r="N997" s="18" t="s">
        <v>562</v>
      </c>
    </row>
    <row r="998" ht="15" customHeight="1" spans="1:14" x14ac:dyDescent="0.25">
      <c r="A998" s="11" t="s">
        <v>2555</v>
      </c>
      <c r="B998" s="11">
        <v>6</v>
      </c>
      <c r="C998" s="12" t="s">
        <v>65</v>
      </c>
      <c r="D998" s="11" t="s">
        <v>366</v>
      </c>
      <c r="E998" s="12" t="s">
        <v>367</v>
      </c>
      <c r="F998" s="12" t="s">
        <v>2556</v>
      </c>
      <c r="G998" s="11" t="s">
        <v>113</v>
      </c>
      <c r="H998" s="18" t="str">
        <f>IFERROR(INDEX('المحافظات Governorates'!$E$2:$E$151,MATCH(D998,'المحافظات Governorates'!$A$2:$A$151,0)),"")</f>
        <v>Balqarn</v>
      </c>
      <c r="I998" s="18" t="str">
        <f>IFERROR(INDEX('المناطق Regions'!$C$2:$C$15,MATCH(B998,'المناطق Regions'!$A$2:$A$15,0)),"")</f>
        <v>Aseer</v>
      </c>
      <c r="J998" s="18" t="str">
        <f>F998&amp;", "&amp;E998&amp;", Saudi Arabia"</f>
        <v>خثعم, بالقرن, Saudi Arabia</v>
      </c>
      <c r="K998" s="18">
        <v>19.774304</v>
      </c>
      <c r="L998" s="18">
        <v>41.873929</v>
      </c>
      <c r="M998" s="18">
        <v>2000</v>
      </c>
      <c r="N998" s="18" t="s">
        <v>562</v>
      </c>
    </row>
    <row r="999" ht="15" customHeight="1" spans="1:14" x14ac:dyDescent="0.25">
      <c r="A999" s="13" t="s">
        <v>2557</v>
      </c>
      <c r="B999" s="13">
        <v>6</v>
      </c>
      <c r="C999" s="14" t="s">
        <v>65</v>
      </c>
      <c r="D999" s="13" t="s">
        <v>366</v>
      </c>
      <c r="E999" s="14" t="s">
        <v>367</v>
      </c>
      <c r="F999" s="14" t="s">
        <v>2558</v>
      </c>
      <c r="G999" s="13" t="s">
        <v>113</v>
      </c>
      <c r="H999" s="18" t="str">
        <f>IFERROR(INDEX('المحافظات Governorates'!$E$2:$E$151,MATCH(D999,'المحافظات Governorates'!$A$2:$A$151,0)),"")</f>
        <v>Balqarn</v>
      </c>
      <c r="I999" s="18" t="str">
        <f>IFERROR(INDEX('المناطق Regions'!$C$2:$C$15,MATCH(B999,'المناطق Regions'!$A$2:$A$15,0)),"")</f>
        <v>Aseer</v>
      </c>
      <c r="J999" s="18" t="str">
        <f>F999&amp;", "&amp;E999&amp;", Saudi Arabia"</f>
        <v>باشوت, بالقرن, Saudi Arabia</v>
      </c>
      <c r="K999" s="18">
        <v>19.583333</v>
      </c>
      <c r="L999" s="18">
        <v>41.883333</v>
      </c>
      <c r="M999" s="18">
        <v>2000</v>
      </c>
      <c r="N999" s="18" t="s">
        <v>562</v>
      </c>
    </row>
    <row r="1000" ht="15" customHeight="1" spans="1:14" x14ac:dyDescent="0.25">
      <c r="A1000" s="11" t="s">
        <v>2559</v>
      </c>
      <c r="B1000" s="11">
        <v>6</v>
      </c>
      <c r="C1000" s="12" t="s">
        <v>65</v>
      </c>
      <c r="D1000" s="11" t="s">
        <v>366</v>
      </c>
      <c r="E1000" s="12" t="s">
        <v>367</v>
      </c>
      <c r="F1000" s="12" t="s">
        <v>2560</v>
      </c>
      <c r="G1000" s="11" t="s">
        <v>149</v>
      </c>
      <c r="H1000" s="18" t="str">
        <f>IFERROR(INDEX('المحافظات Governorates'!$E$2:$E$151,MATCH(D1000,'المحافظات Governorates'!$A$2:$A$151,0)),"")</f>
        <v>Balqarn</v>
      </c>
      <c r="I1000" s="18" t="str">
        <f>IFERROR(INDEX('المناطق Regions'!$C$2:$C$15,MATCH(B1000,'المناطق Regions'!$A$2:$A$15,0)),"")</f>
        <v>Aseer</v>
      </c>
      <c r="J1000" s="18" t="str">
        <f>F1000&amp;", "&amp;E1000&amp;", Saudi Arabia"</f>
        <v>ال سلمه, بالقرن, Saudi Arabia</v>
      </c>
      <c r="K1000" s="18">
        <v>19.410812</v>
      </c>
      <c r="L1000" s="18">
        <v>42.006003</v>
      </c>
      <c r="M1000" s="18">
        <v>2000</v>
      </c>
      <c r="N1000" s="18" t="s">
        <v>562</v>
      </c>
    </row>
    <row r="1001" ht="15" customHeight="1" spans="1:14" x14ac:dyDescent="0.25">
      <c r="A1001" s="13" t="s">
        <v>2561</v>
      </c>
      <c r="B1001" s="13">
        <v>6</v>
      </c>
      <c r="C1001" s="14" t="s">
        <v>65</v>
      </c>
      <c r="D1001" s="13" t="s">
        <v>366</v>
      </c>
      <c r="E1001" s="14" t="s">
        <v>367</v>
      </c>
      <c r="F1001" s="14" t="s">
        <v>2562</v>
      </c>
      <c r="G1001" s="13" t="s">
        <v>149</v>
      </c>
      <c r="H1001" s="18" t="str">
        <f>IFERROR(INDEX('المحافظات Governorates'!$E$2:$E$151,MATCH(D1001,'المحافظات Governorates'!$A$2:$A$151,0)),"")</f>
        <v>Balqarn</v>
      </c>
      <c r="I1001" s="18" t="str">
        <f>IFERROR(INDEX('المناطق Regions'!$C$2:$C$15,MATCH(B1001,'المناطق Regions'!$A$2:$A$15,0)),"")</f>
        <v>Aseer</v>
      </c>
      <c r="J1001" s="18" t="str">
        <f>F1001&amp;", "&amp;E1001&amp;", Saudi Arabia"</f>
        <v>شواص, بالقرن, Saudi Arabia</v>
      </c>
      <c r="K1001" s="18">
        <v>19.715793</v>
      </c>
      <c r="L1001" s="18">
        <v>41.952925</v>
      </c>
      <c r="M1001" s="18">
        <v>50454</v>
      </c>
      <c r="N1001" s="18" t="s">
        <v>2563</v>
      </c>
    </row>
    <row r="1002" ht="15" customHeight="1" spans="1:14" x14ac:dyDescent="0.25">
      <c r="A1002" s="11" t="s">
        <v>2564</v>
      </c>
      <c r="B1002" s="11">
        <v>6</v>
      </c>
      <c r="C1002" s="12" t="s">
        <v>65</v>
      </c>
      <c r="D1002" s="11" t="s">
        <v>366</v>
      </c>
      <c r="E1002" s="12" t="s">
        <v>367</v>
      </c>
      <c r="F1002" s="12" t="s">
        <v>2565</v>
      </c>
      <c r="G1002" s="11" t="s">
        <v>113</v>
      </c>
      <c r="H1002" s="18" t="str">
        <f>IFERROR(INDEX('المحافظات Governorates'!$E$2:$E$151,MATCH(D1002,'المحافظات Governorates'!$A$2:$A$151,0)),"")</f>
        <v>Balqarn</v>
      </c>
      <c r="I1002" s="18" t="str">
        <f>IFERROR(INDEX('المناطق Regions'!$C$2:$C$15,MATCH(B1002,'المناطق Regions'!$A$2:$A$15,0)),"")</f>
        <v>Aseer</v>
      </c>
      <c r="J1002" s="18" t="str">
        <f>F1002&amp;", "&amp;E1002&amp;", Saudi Arabia"</f>
        <v>شعف بلقرن, بالقرن, Saudi Arabia</v>
      </c>
      <c r="K1002" s="18">
        <v>19.531146</v>
      </c>
      <c r="L1002" s="18">
        <v>41.89795</v>
      </c>
      <c r="M1002" s="18">
        <v>2000</v>
      </c>
      <c r="N1002" s="18" t="s">
        <v>562</v>
      </c>
    </row>
    <row r="1003" ht="15" customHeight="1" spans="1:14" x14ac:dyDescent="0.25">
      <c r="A1003" s="13" t="s">
        <v>2566</v>
      </c>
      <c r="B1003" s="13">
        <v>6</v>
      </c>
      <c r="C1003" s="14" t="s">
        <v>65</v>
      </c>
      <c r="D1003" s="13" t="s">
        <v>366</v>
      </c>
      <c r="E1003" s="14" t="s">
        <v>367</v>
      </c>
      <c r="F1003" s="14" t="s">
        <v>2567</v>
      </c>
      <c r="G1003" s="13" t="s">
        <v>149</v>
      </c>
      <c r="H1003" s="18" t="str">
        <f>IFERROR(INDEX('المحافظات Governorates'!$E$2:$E$151,MATCH(D1003,'المحافظات Governorates'!$A$2:$A$151,0)),"")</f>
        <v>Balqarn</v>
      </c>
      <c r="I1003" s="18" t="str">
        <f>IFERROR(INDEX('المناطق Regions'!$C$2:$C$15,MATCH(B1003,'المناطق Regions'!$A$2:$A$15,0)),"")</f>
        <v>Aseer</v>
      </c>
      <c r="J1003" s="18" t="str">
        <f>F1003&amp;", "&amp;E1003&amp;", Saudi Arabia"</f>
        <v>الشفاء, بالقرن, Saudi Arabia</v>
      </c>
      <c r="K1003" s="18">
        <v>19.715793</v>
      </c>
      <c r="L1003" s="18">
        <v>41.952925</v>
      </c>
      <c r="M1003" s="18">
        <v>50454</v>
      </c>
      <c r="N1003" s="18" t="s">
        <v>2563</v>
      </c>
    </row>
    <row r="1004" ht="15" customHeight="1" spans="1:14" x14ac:dyDescent="0.25">
      <c r="A1004" s="11" t="s">
        <v>2568</v>
      </c>
      <c r="B1004" s="11">
        <v>6</v>
      </c>
      <c r="C1004" s="12" t="s">
        <v>65</v>
      </c>
      <c r="D1004" s="11" t="s">
        <v>369</v>
      </c>
      <c r="E1004" s="12" t="s">
        <v>370</v>
      </c>
      <c r="F1004" s="12" t="s">
        <v>2569</v>
      </c>
      <c r="G1004" s="11" t="s">
        <v>113</v>
      </c>
      <c r="H1004" s="18" t="str">
        <f>IFERROR(INDEX('المحافظات Governorates'!$E$2:$E$151,MATCH(D1004,'المحافظات Governorates'!$A$2:$A$151,0)),"")</f>
        <v>Al-Majaridah</v>
      </c>
      <c r="I1004" s="18" t="str">
        <f>IFERROR(INDEX('المناطق Regions'!$C$2:$C$15,MATCH(B1004,'المناطق Regions'!$A$2:$A$15,0)),"")</f>
        <v>Aseer</v>
      </c>
      <c r="J1004" s="18" t="str">
        <f>F1004&amp;", "&amp;E1004&amp;", Saudi Arabia"</f>
        <v>ثربان, المجارده, Saudi Arabia</v>
      </c>
      <c r="K1004" s="18">
        <v>19.044922</v>
      </c>
      <c r="L1004" s="18">
        <v>41.775574</v>
      </c>
      <c r="M1004" s="18">
        <v>2000</v>
      </c>
      <c r="N1004" s="18" t="s">
        <v>562</v>
      </c>
    </row>
    <row r="1005" ht="15" customHeight="1" spans="1:14" x14ac:dyDescent="0.25">
      <c r="A1005" s="13" t="s">
        <v>2570</v>
      </c>
      <c r="B1005" s="13">
        <v>6</v>
      </c>
      <c r="C1005" s="14" t="s">
        <v>65</v>
      </c>
      <c r="D1005" s="13" t="s">
        <v>369</v>
      </c>
      <c r="E1005" s="14" t="s">
        <v>370</v>
      </c>
      <c r="F1005" s="14" t="s">
        <v>2571</v>
      </c>
      <c r="G1005" s="13" t="s">
        <v>149</v>
      </c>
      <c r="H1005" s="18" t="str">
        <f>IFERROR(INDEX('المحافظات Governorates'!$E$2:$E$151,MATCH(D1005,'المحافظات Governorates'!$A$2:$A$151,0)),"")</f>
        <v>Al-Majaridah</v>
      </c>
      <c r="I1005" s="18" t="str">
        <f>IFERROR(INDEX('المناطق Regions'!$C$2:$C$15,MATCH(B1005,'المناطق Regions'!$A$2:$A$15,0)),"")</f>
        <v>Aseer</v>
      </c>
      <c r="J1005" s="18" t="str">
        <f>F1005&amp;", "&amp;E1005&amp;", Saudi Arabia"</f>
        <v>عبس, المجارده, Saudi Arabia</v>
      </c>
      <c r="K1005" s="18">
        <v>19.121901</v>
      </c>
      <c r="L1005" s="18">
        <v>41.844371</v>
      </c>
      <c r="M1005" s="18">
        <v>36262</v>
      </c>
      <c r="N1005" s="18" t="s">
        <v>2572</v>
      </c>
    </row>
    <row r="1006" ht="15" customHeight="1" spans="1:14" x14ac:dyDescent="0.25">
      <c r="A1006" s="11" t="s">
        <v>2573</v>
      </c>
      <c r="B1006" s="11">
        <v>6</v>
      </c>
      <c r="C1006" s="12" t="s">
        <v>65</v>
      </c>
      <c r="D1006" s="11" t="s">
        <v>369</v>
      </c>
      <c r="E1006" s="12" t="s">
        <v>370</v>
      </c>
      <c r="F1006" s="12" t="s">
        <v>2574</v>
      </c>
      <c r="G1006" s="11" t="s">
        <v>149</v>
      </c>
      <c r="H1006" s="18" t="str">
        <f>IFERROR(INDEX('المحافظات Governorates'!$E$2:$E$151,MATCH(D1006,'المحافظات Governorates'!$A$2:$A$151,0)),"")</f>
        <v>Al-Majaridah</v>
      </c>
      <c r="I1006" s="18" t="str">
        <f>IFERROR(INDEX('المناطق Regions'!$C$2:$C$15,MATCH(B1006,'المناطق Regions'!$A$2:$A$15,0)),"")</f>
        <v>Aseer</v>
      </c>
      <c r="J1006" s="18" t="str">
        <f>F1006&amp;", "&amp;E1006&amp;", Saudi Arabia"</f>
        <v>احد ثربان, المجارده, Saudi Arabia</v>
      </c>
      <c r="K1006" s="18">
        <v>19.102496</v>
      </c>
      <c r="L1006" s="18">
        <v>41.636316</v>
      </c>
      <c r="M1006" s="18">
        <v>2000</v>
      </c>
      <c r="N1006" s="18" t="s">
        <v>562</v>
      </c>
    </row>
    <row r="1007" ht="15" customHeight="1" spans="1:14" x14ac:dyDescent="0.25">
      <c r="A1007" s="13" t="s">
        <v>2575</v>
      </c>
      <c r="B1007" s="13">
        <v>6</v>
      </c>
      <c r="C1007" s="14" t="s">
        <v>65</v>
      </c>
      <c r="D1007" s="13" t="s">
        <v>369</v>
      </c>
      <c r="E1007" s="14" t="s">
        <v>370</v>
      </c>
      <c r="F1007" s="14" t="s">
        <v>2576</v>
      </c>
      <c r="G1007" s="13" t="s">
        <v>149</v>
      </c>
      <c r="H1007" s="18" t="str">
        <f>IFERROR(INDEX('المحافظات Governorates'!$E$2:$E$151,MATCH(D1007,'المحافظات Governorates'!$A$2:$A$151,0)),"")</f>
        <v>Al-Majaridah</v>
      </c>
      <c r="I1007" s="18" t="str">
        <f>IFERROR(INDEX('المناطق Regions'!$C$2:$C$15,MATCH(B1007,'المناطق Regions'!$A$2:$A$15,0)),"")</f>
        <v>Aseer</v>
      </c>
      <c r="J1007" s="18" t="str">
        <f>F1007&amp;", "&amp;E1007&amp;", Saudi Arabia"</f>
        <v>ختبه, المجارده, Saudi Arabia</v>
      </c>
      <c r="K1007" s="18">
        <v>19.121901</v>
      </c>
      <c r="L1007" s="18">
        <v>41.844371</v>
      </c>
      <c r="M1007" s="18">
        <v>36262</v>
      </c>
      <c r="N1007" s="18" t="s">
        <v>2572</v>
      </c>
    </row>
    <row r="1008" ht="15" customHeight="1" spans="1:14" x14ac:dyDescent="0.25">
      <c r="A1008" s="11" t="s">
        <v>2577</v>
      </c>
      <c r="B1008" s="11">
        <v>6</v>
      </c>
      <c r="C1008" s="12" t="s">
        <v>65</v>
      </c>
      <c r="D1008" s="11" t="s">
        <v>369</v>
      </c>
      <c r="E1008" s="12" t="s">
        <v>370</v>
      </c>
      <c r="F1008" s="12" t="s">
        <v>2578</v>
      </c>
      <c r="G1008" s="11" t="s">
        <v>149</v>
      </c>
      <c r="H1008" s="18" t="str">
        <f>IFERROR(INDEX('المحافظات Governorates'!$E$2:$E$151,MATCH(D1008,'المحافظات Governorates'!$A$2:$A$151,0)),"")</f>
        <v>Al-Majaridah</v>
      </c>
      <c r="I1008" s="18" t="str">
        <f>IFERROR(INDEX('المناطق Regions'!$C$2:$C$15,MATCH(B1008,'المناطق Regions'!$A$2:$A$15,0)),"")</f>
        <v>Aseer</v>
      </c>
      <c r="J1008" s="18" t="str">
        <f>F1008&amp;", "&amp;E1008&amp;", Saudi Arabia"</f>
        <v>خاط, المجارده, Saudi Arabia</v>
      </c>
      <c r="K1008" s="18">
        <v>19.121901</v>
      </c>
      <c r="L1008" s="18">
        <v>41.844371</v>
      </c>
      <c r="M1008" s="18">
        <v>36262</v>
      </c>
      <c r="N1008" s="18" t="s">
        <v>2572</v>
      </c>
    </row>
    <row r="1009" ht="15" customHeight="1" spans="1:14" x14ac:dyDescent="0.25">
      <c r="A1009" s="13" t="s">
        <v>2579</v>
      </c>
      <c r="B1009" s="13">
        <v>6</v>
      </c>
      <c r="C1009" s="14" t="s">
        <v>65</v>
      </c>
      <c r="D1009" s="13" t="s">
        <v>372</v>
      </c>
      <c r="E1009" s="14" t="s">
        <v>373</v>
      </c>
      <c r="F1009" s="14" t="s">
        <v>2580</v>
      </c>
      <c r="G1009" s="13" t="s">
        <v>149</v>
      </c>
      <c r="H1009" s="18" t="str">
        <f>IFERROR(INDEX('المحافظات Governorates'!$E$2:$E$151,MATCH(D1009,'المحافظات Governorates'!$A$2:$A$151,0)),"")</f>
        <v>Tarib</v>
      </c>
      <c r="I1009" s="18" t="str">
        <f>IFERROR(INDEX('المناطق Regions'!$C$2:$C$15,MATCH(B1009,'المناطق Regions'!$A$2:$A$15,0)),"")</f>
        <v>Aseer</v>
      </c>
      <c r="J1009" s="18" t="str">
        <f>F1009&amp;", "&amp;E1009&amp;", Saudi Arabia"</f>
        <v>الخنقه, طريب, Saudi Arabia</v>
      </c>
      <c r="K1009" s="18">
        <v>18.303314</v>
      </c>
      <c r="L1009" s="18">
        <v>43.504839</v>
      </c>
      <c r="M1009" s="18">
        <v>2000</v>
      </c>
      <c r="N1009" s="18" t="s">
        <v>562</v>
      </c>
    </row>
    <row r="1010" ht="15" customHeight="1" spans="1:14" x14ac:dyDescent="0.25">
      <c r="A1010" s="11" t="s">
        <v>2581</v>
      </c>
      <c r="B1010" s="11">
        <v>6</v>
      </c>
      <c r="C1010" s="12" t="s">
        <v>65</v>
      </c>
      <c r="D1010" s="11" t="s">
        <v>372</v>
      </c>
      <c r="E1010" s="12" t="s">
        <v>373</v>
      </c>
      <c r="F1010" s="12" t="s">
        <v>2582</v>
      </c>
      <c r="G1010" s="11" t="s">
        <v>149</v>
      </c>
      <c r="H1010" s="18" t="str">
        <f>IFERROR(INDEX('المحافظات Governorates'!$E$2:$E$151,MATCH(D1010,'المحافظات Governorates'!$A$2:$A$151,0)),"")</f>
        <v>Tarib</v>
      </c>
      <c r="I1010" s="18" t="str">
        <f>IFERROR(INDEX('المناطق Regions'!$C$2:$C$15,MATCH(B1010,'المناطق Regions'!$A$2:$A$15,0)),"")</f>
        <v>Aseer</v>
      </c>
      <c r="J1010" s="18" t="str">
        <f>F1010&amp;", "&amp;E1010&amp;", Saudi Arabia"</f>
        <v>ملحة الاحباب, طريب, Saudi Arabia</v>
      </c>
      <c r="K1010" s="18">
        <v>18.961348</v>
      </c>
      <c r="L1010" s="18">
        <v>43.21012</v>
      </c>
      <c r="M1010" s="18">
        <v>85407</v>
      </c>
      <c r="N1010" s="18" t="s">
        <v>1585</v>
      </c>
    </row>
    <row r="1011" ht="15" customHeight="1" spans="1:14" x14ac:dyDescent="0.25">
      <c r="A1011" s="13" t="s">
        <v>2583</v>
      </c>
      <c r="B1011" s="13">
        <v>6</v>
      </c>
      <c r="C1011" s="14" t="s">
        <v>65</v>
      </c>
      <c r="D1011" s="13" t="s">
        <v>372</v>
      </c>
      <c r="E1011" s="14" t="s">
        <v>373</v>
      </c>
      <c r="F1011" s="14" t="s">
        <v>2584</v>
      </c>
      <c r="G1011" s="13" t="s">
        <v>113</v>
      </c>
      <c r="H1011" s="18" t="str">
        <f>IFERROR(INDEX('المحافظات Governorates'!$E$2:$E$151,MATCH(D1011,'المحافظات Governorates'!$A$2:$A$151,0)),"")</f>
        <v>Tarib</v>
      </c>
      <c r="I1011" s="18" t="str">
        <f>IFERROR(INDEX('المناطق Regions'!$C$2:$C$15,MATCH(B1011,'المناطق Regions'!$A$2:$A$15,0)),"")</f>
        <v>Aseer</v>
      </c>
      <c r="J1011" s="18" t="str">
        <f>F1011&amp;", "&amp;E1011&amp;", Saudi Arabia"</f>
        <v>الصبيخه, طريب, Saudi Arabia</v>
      </c>
      <c r="K1011" s="18">
        <v>19.099552</v>
      </c>
      <c r="L1011" s="18">
        <v>43.309752</v>
      </c>
      <c r="M1011" s="18">
        <v>2000</v>
      </c>
      <c r="N1011" s="18" t="s">
        <v>562</v>
      </c>
    </row>
    <row r="1012" ht="15" customHeight="1" spans="1:14" x14ac:dyDescent="0.25">
      <c r="A1012" s="11" t="s">
        <v>2585</v>
      </c>
      <c r="B1012" s="11">
        <v>6</v>
      </c>
      <c r="C1012" s="12" t="s">
        <v>65</v>
      </c>
      <c r="D1012" s="11" t="s">
        <v>372</v>
      </c>
      <c r="E1012" s="12" t="s">
        <v>373</v>
      </c>
      <c r="F1012" s="12" t="s">
        <v>2586</v>
      </c>
      <c r="G1012" s="11" t="s">
        <v>113</v>
      </c>
      <c r="H1012" s="18" t="str">
        <f>IFERROR(INDEX('المحافظات Governorates'!$E$2:$E$151,MATCH(D1012,'المحافظات Governorates'!$A$2:$A$151,0)),"")</f>
        <v>Tarib</v>
      </c>
      <c r="I1012" s="18" t="str">
        <f>IFERROR(INDEX('المناطق Regions'!$C$2:$C$15,MATCH(B1012,'المناطق Regions'!$A$2:$A$15,0)),"")</f>
        <v>Aseer</v>
      </c>
      <c r="J1012" s="18" t="str">
        <f>F1012&amp;", "&amp;E1012&amp;", Saudi Arabia"</f>
        <v>المضه, طريب, Saudi Arabia</v>
      </c>
      <c r="K1012" s="18">
        <v>18.83587</v>
      </c>
      <c r="L1012" s="18">
        <v>43.242281</v>
      </c>
      <c r="M1012" s="18">
        <v>2000</v>
      </c>
      <c r="N1012" s="18" t="s">
        <v>562</v>
      </c>
    </row>
    <row r="1013" ht="15" customHeight="1" spans="1:14" x14ac:dyDescent="0.25">
      <c r="A1013" s="13" t="s">
        <v>2587</v>
      </c>
      <c r="B1013" s="13">
        <v>6</v>
      </c>
      <c r="C1013" s="14" t="s">
        <v>65</v>
      </c>
      <c r="D1013" s="13" t="s">
        <v>372</v>
      </c>
      <c r="E1013" s="14" t="s">
        <v>373</v>
      </c>
      <c r="F1013" s="14" t="s">
        <v>2588</v>
      </c>
      <c r="G1013" s="13" t="s">
        <v>149</v>
      </c>
      <c r="H1013" s="18" t="str">
        <f>IFERROR(INDEX('المحافظات Governorates'!$E$2:$E$151,MATCH(D1013,'المحافظات Governorates'!$A$2:$A$151,0)),"")</f>
        <v>Tarib</v>
      </c>
      <c r="I1013" s="18" t="str">
        <f>IFERROR(INDEX('المناطق Regions'!$C$2:$C$15,MATCH(B1013,'المناطق Regions'!$A$2:$A$15,0)),"")</f>
        <v>Aseer</v>
      </c>
      <c r="J1013" s="18" t="str">
        <f>F1013&amp;", "&amp;E1013&amp;", Saudi Arabia"</f>
        <v>عرقة آل سليمان, طريب, Saudi Arabia</v>
      </c>
      <c r="K1013" s="18">
        <v>18.961348</v>
      </c>
      <c r="L1013" s="18">
        <v>43.21012</v>
      </c>
      <c r="M1013" s="18">
        <v>85407</v>
      </c>
      <c r="N1013" s="18" t="s">
        <v>1585</v>
      </c>
    </row>
    <row r="1014" ht="15" customHeight="1" spans="1:14" x14ac:dyDescent="0.25">
      <c r="A1014" s="11" t="s">
        <v>2589</v>
      </c>
      <c r="B1014" s="11">
        <v>6</v>
      </c>
      <c r="C1014" s="12" t="s">
        <v>65</v>
      </c>
      <c r="D1014" s="11" t="s">
        <v>372</v>
      </c>
      <c r="E1014" s="12" t="s">
        <v>373</v>
      </c>
      <c r="F1014" s="12" t="s">
        <v>2590</v>
      </c>
      <c r="G1014" s="11" t="s">
        <v>149</v>
      </c>
      <c r="H1014" s="18" t="str">
        <f>IFERROR(INDEX('المحافظات Governorates'!$E$2:$E$151,MATCH(D1014,'المحافظات Governorates'!$A$2:$A$151,0)),"")</f>
        <v>Tarib</v>
      </c>
      <c r="I1014" s="18" t="str">
        <f>IFERROR(INDEX('المناطق Regions'!$C$2:$C$15,MATCH(B1014,'المناطق Regions'!$A$2:$A$15,0)),"")</f>
        <v>Aseer</v>
      </c>
      <c r="J1014" s="18" t="str">
        <f>F1014&amp;", "&amp;E1014&amp;", Saudi Arabia"</f>
        <v>الغضاة, طريب, Saudi Arabia</v>
      </c>
      <c r="K1014" s="18">
        <v>18.715691</v>
      </c>
      <c r="L1014" s="18">
        <v>43.188408</v>
      </c>
      <c r="M1014" s="18">
        <v>2000</v>
      </c>
      <c r="N1014" s="18" t="s">
        <v>562</v>
      </c>
    </row>
    <row r="1015" ht="15" customHeight="1" spans="1:14" x14ac:dyDescent="0.25">
      <c r="A1015" s="13" t="s">
        <v>2591</v>
      </c>
      <c r="B1015" s="13">
        <v>6</v>
      </c>
      <c r="C1015" s="14" t="s">
        <v>65</v>
      </c>
      <c r="D1015" s="13" t="s">
        <v>375</v>
      </c>
      <c r="E1015" s="14" t="s">
        <v>376</v>
      </c>
      <c r="F1015" s="14" t="s">
        <v>2592</v>
      </c>
      <c r="G1015" s="13" t="s">
        <v>149</v>
      </c>
      <c r="H1015" s="18" t="str">
        <f>IFERROR(INDEX('المحافظات Governorates'!$E$2:$E$151,MATCH(D1015,'المحافظات Governorates'!$A$2:$A$151,0)),"")</f>
        <v>Al-Birk</v>
      </c>
      <c r="I1015" s="18" t="str">
        <f>IFERROR(INDEX('المناطق Regions'!$C$2:$C$15,MATCH(B1015,'المناطق Regions'!$A$2:$A$15,0)),"")</f>
        <v>Aseer</v>
      </c>
      <c r="J1015" s="18" t="str">
        <f>F1015&amp;", "&amp;E1015&amp;", Saudi Arabia"</f>
        <v>عمق, البرك, Saudi Arabia</v>
      </c>
      <c r="K1015" s="18">
        <v>18.390041</v>
      </c>
      <c r="L1015" s="18">
        <v>41.610639</v>
      </c>
      <c r="M1015" s="18">
        <v>65278</v>
      </c>
      <c r="N1015" s="18" t="s">
        <v>2593</v>
      </c>
    </row>
    <row r="1016" ht="15" customHeight="1" spans="1:14" x14ac:dyDescent="0.25">
      <c r="A1016" s="11" t="s">
        <v>2594</v>
      </c>
      <c r="B1016" s="11">
        <v>6</v>
      </c>
      <c r="C1016" s="12" t="s">
        <v>65</v>
      </c>
      <c r="D1016" s="11" t="s">
        <v>375</v>
      </c>
      <c r="E1016" s="12" t="s">
        <v>376</v>
      </c>
      <c r="F1016" s="12" t="s">
        <v>2595</v>
      </c>
      <c r="G1016" s="11" t="s">
        <v>149</v>
      </c>
      <c r="H1016" s="18" t="str">
        <f>IFERROR(INDEX('المحافظات Governorates'!$E$2:$E$151,MATCH(D1016,'المحافظات Governorates'!$A$2:$A$151,0)),"")</f>
        <v>Al-Birk</v>
      </c>
      <c r="I1016" s="18" t="str">
        <f>IFERROR(INDEX('المناطق Regions'!$C$2:$C$15,MATCH(B1016,'المناطق Regions'!$A$2:$A$15,0)),"")</f>
        <v>Aseer</v>
      </c>
      <c r="J1016" s="18" t="str">
        <f>F1016&amp;", "&amp;E1016&amp;", Saudi Arabia"</f>
        <v>ذهبان, البرك, Saudi Arabia</v>
      </c>
      <c r="K1016" s="18">
        <v>18.119995</v>
      </c>
      <c r="L1016" s="18">
        <v>41.571579</v>
      </c>
      <c r="M1016" s="18">
        <v>2000</v>
      </c>
      <c r="N1016" s="18" t="s">
        <v>562</v>
      </c>
    </row>
    <row r="1017" ht="15" customHeight="1" spans="1:14" x14ac:dyDescent="0.25">
      <c r="A1017" s="13" t="s">
        <v>2596</v>
      </c>
      <c r="B1017" s="13">
        <v>6</v>
      </c>
      <c r="C1017" s="14" t="s">
        <v>65</v>
      </c>
      <c r="D1017" s="13" t="s">
        <v>375</v>
      </c>
      <c r="E1017" s="14" t="s">
        <v>376</v>
      </c>
      <c r="F1017" s="14" t="s">
        <v>2597</v>
      </c>
      <c r="G1017" s="13" t="s">
        <v>113</v>
      </c>
      <c r="H1017" s="18" t="str">
        <f>IFERROR(INDEX('المحافظات Governorates'!$E$2:$E$151,MATCH(D1017,'المحافظات Governorates'!$A$2:$A$151,0)),"")</f>
        <v>Al-Birk</v>
      </c>
      <c r="I1017" s="18" t="str">
        <f>IFERROR(INDEX('المناطق Regions'!$C$2:$C$15,MATCH(B1017,'المناطق Regions'!$A$2:$A$15,0)),"")</f>
        <v>Aseer</v>
      </c>
      <c r="J1017" s="18" t="str">
        <f>F1017&amp;", "&amp;E1017&amp;", Saudi Arabia"</f>
        <v>المرصد, البرك, Saudi Arabia</v>
      </c>
      <c r="K1017" s="18">
        <v>18.472188</v>
      </c>
      <c r="L1017" s="18">
        <v>41.668494</v>
      </c>
      <c r="M1017" s="18">
        <v>2000</v>
      </c>
      <c r="N1017" s="18" t="s">
        <v>562</v>
      </c>
    </row>
    <row r="1018" ht="15" customHeight="1" spans="1:14" x14ac:dyDescent="0.25">
      <c r="A1018" s="11" t="s">
        <v>2598</v>
      </c>
      <c r="B1018" s="11">
        <v>6</v>
      </c>
      <c r="C1018" s="12" t="s">
        <v>65</v>
      </c>
      <c r="D1018" s="11" t="s">
        <v>378</v>
      </c>
      <c r="E1018" s="12" t="s">
        <v>379</v>
      </c>
      <c r="F1018" s="12" t="s">
        <v>2599</v>
      </c>
      <c r="G1018" s="11" t="s">
        <v>113</v>
      </c>
      <c r="H1018" s="18" t="str">
        <f>IFERROR(INDEX('المحافظات Governorates'!$E$2:$E$151,MATCH(D1018,'المحافظات Governorates'!$A$2:$A$151,0)),"")</f>
        <v>Bariq</v>
      </c>
      <c r="I1018" s="18" t="str">
        <f>IFERROR(INDEX('المناطق Regions'!$C$2:$C$15,MATCH(B1018,'المناطق Regions'!$A$2:$A$15,0)),"")</f>
        <v>Aseer</v>
      </c>
      <c r="J1018" s="18" t="str">
        <f>F1018&amp;", "&amp;E1018&amp;", Saudi Arabia"</f>
        <v>ثلوث المنظر, بارق, Saudi Arabia</v>
      </c>
      <c r="K1018" s="18">
        <v>18.911536</v>
      </c>
      <c r="L1018" s="18">
        <v>41.827144</v>
      </c>
      <c r="M1018" s="18">
        <v>45672</v>
      </c>
      <c r="N1018" s="18" t="s">
        <v>2600</v>
      </c>
    </row>
    <row r="1019" ht="15" customHeight="1" spans="1:14" x14ac:dyDescent="0.25">
      <c r="A1019" s="13" t="s">
        <v>2601</v>
      </c>
      <c r="B1019" s="13">
        <v>6</v>
      </c>
      <c r="C1019" s="14" t="s">
        <v>65</v>
      </c>
      <c r="D1019" s="13" t="s">
        <v>378</v>
      </c>
      <c r="E1019" s="14" t="s">
        <v>379</v>
      </c>
      <c r="F1019" s="14" t="s">
        <v>2602</v>
      </c>
      <c r="G1019" s="13" t="s">
        <v>113</v>
      </c>
      <c r="H1019" s="18" t="str">
        <f>IFERROR(INDEX('المحافظات Governorates'!$E$2:$E$151,MATCH(D1019,'المحافظات Governorates'!$A$2:$A$151,0)),"")</f>
        <v>Bariq</v>
      </c>
      <c r="I1019" s="18" t="str">
        <f>IFERROR(INDEX('المناطق Regions'!$C$2:$C$15,MATCH(B1019,'المناطق Regions'!$A$2:$A$15,0)),"")</f>
        <v>Aseer</v>
      </c>
      <c r="J1019" s="18" t="str">
        <f>F1019&amp;", "&amp;E1019&amp;", Saudi Arabia"</f>
        <v>جمعة ربيعه (المقاطرة), بارق, Saudi Arabia</v>
      </c>
      <c r="K1019" s="18">
        <v>18.911536</v>
      </c>
      <c r="L1019" s="18">
        <v>41.827144</v>
      </c>
      <c r="M1019" s="18">
        <v>45672</v>
      </c>
      <c r="N1019" s="18" t="s">
        <v>2600</v>
      </c>
    </row>
    <row r="1020" ht="15" customHeight="1" spans="1:14" x14ac:dyDescent="0.25">
      <c r="A1020" s="11" t="s">
        <v>2603</v>
      </c>
      <c r="B1020" s="11">
        <v>6</v>
      </c>
      <c r="C1020" s="12" t="s">
        <v>65</v>
      </c>
      <c r="D1020" s="11" t="s">
        <v>381</v>
      </c>
      <c r="E1020" s="12" t="s">
        <v>382</v>
      </c>
      <c r="F1020" s="12" t="s">
        <v>2604</v>
      </c>
      <c r="G1020" s="11" t="s">
        <v>149</v>
      </c>
      <c r="H1020" s="18" t="str">
        <f>IFERROR(INDEX('المحافظات Governorates'!$E$2:$E$151,MATCH(D1020,'المحافظات Governorates'!$A$2:$A$151,0)),"")</f>
        <v>Tanumah</v>
      </c>
      <c r="I1020" s="18" t="str">
        <f>IFERROR(INDEX('المناطق Regions'!$C$2:$C$15,MATCH(B1020,'المناطق Regions'!$A$2:$A$15,0)),"")</f>
        <v>Aseer</v>
      </c>
      <c r="J1020" s="18" t="str">
        <f>F1020&amp;", "&amp;E1020&amp;", Saudi Arabia"</f>
        <v>منصبة, تنومة, Saudi Arabia</v>
      </c>
      <c r="K1020" s="18">
        <v>19.154574</v>
      </c>
      <c r="L1020" s="18">
        <v>42.536101</v>
      </c>
      <c r="M1020" s="18">
        <v>2000</v>
      </c>
      <c r="N1020" s="18" t="s">
        <v>562</v>
      </c>
    </row>
    <row r="1021" ht="15" customHeight="1" spans="1:14" x14ac:dyDescent="0.25">
      <c r="A1021" s="13" t="s">
        <v>2605</v>
      </c>
      <c r="B1021" s="13">
        <v>7</v>
      </c>
      <c r="C1021" s="14" t="s">
        <v>70</v>
      </c>
      <c r="D1021" s="13" t="s">
        <v>387</v>
      </c>
      <c r="E1021" s="14" t="s">
        <v>70</v>
      </c>
      <c r="F1021" s="14" t="s">
        <v>2606</v>
      </c>
      <c r="G1021" s="13" t="s">
        <v>113</v>
      </c>
      <c r="H1021" s="18" t="str">
        <f>IFERROR(INDEX('المحافظات Governorates'!$E$2:$E$151,MATCH(D1021,'المحافظات Governorates'!$A$2:$A$151,0)),"")</f>
        <v>Tabuk</v>
      </c>
      <c r="I1021" s="18" t="str">
        <f>IFERROR(INDEX('المناطق Regions'!$C$2:$C$15,MATCH(B1021,'المناطق Regions'!$A$2:$A$15,0)),"")</f>
        <v>Tabuk</v>
      </c>
      <c r="J1021" s="18" t="str">
        <f>F1021&amp;", "&amp;E1021&amp;", Saudi Arabia"</f>
        <v>مغيرا الطبيق, تبوك, Saudi Arabia</v>
      </c>
      <c r="K1021" s="18">
        <v>29.04314</v>
      </c>
      <c r="L1021" s="18">
        <v>37.768847</v>
      </c>
      <c r="M1021" s="18">
        <v>2000</v>
      </c>
      <c r="N1021" s="18" t="s">
        <v>562</v>
      </c>
    </row>
    <row r="1022" ht="15" customHeight="1" spans="1:14" x14ac:dyDescent="0.25">
      <c r="A1022" s="11" t="s">
        <v>2607</v>
      </c>
      <c r="B1022" s="11">
        <v>7</v>
      </c>
      <c r="C1022" s="12" t="s">
        <v>70</v>
      </c>
      <c r="D1022" s="11" t="s">
        <v>387</v>
      </c>
      <c r="E1022" s="12" t="s">
        <v>70</v>
      </c>
      <c r="F1022" s="12" t="s">
        <v>2608</v>
      </c>
      <c r="G1022" s="11" t="s">
        <v>113</v>
      </c>
      <c r="H1022" s="18" t="str">
        <f>IFERROR(INDEX('المحافظات Governorates'!$E$2:$E$151,MATCH(D1022,'المحافظات Governorates'!$A$2:$A$151,0)),"")</f>
        <v>Tabuk</v>
      </c>
      <c r="I1022" s="18" t="str">
        <f>IFERROR(INDEX('المناطق Regions'!$C$2:$C$15,MATCH(B1022,'المناطق Regions'!$A$2:$A$15,0)),"")</f>
        <v>Tabuk</v>
      </c>
      <c r="J1022" s="18" t="str">
        <f>F1022&amp;", "&amp;E1022&amp;", Saudi Arabia"</f>
        <v>شقرى, تبوك, Saudi Arabia</v>
      </c>
      <c r="K1022" s="18">
        <v>27.983536</v>
      </c>
      <c r="L1022" s="18">
        <v>36</v>
      </c>
      <c r="M1022" s="18">
        <v>2000</v>
      </c>
      <c r="N1022" s="18" t="s">
        <v>562</v>
      </c>
    </row>
    <row r="1023" ht="15" customHeight="1" spans="1:14" x14ac:dyDescent="0.25">
      <c r="A1023" s="13" t="s">
        <v>2609</v>
      </c>
      <c r="B1023" s="13">
        <v>7</v>
      </c>
      <c r="C1023" s="14" t="s">
        <v>70</v>
      </c>
      <c r="D1023" s="13" t="s">
        <v>387</v>
      </c>
      <c r="E1023" s="14" t="s">
        <v>70</v>
      </c>
      <c r="F1023" s="14" t="s">
        <v>2610</v>
      </c>
      <c r="G1023" s="13" t="s">
        <v>113</v>
      </c>
      <c r="H1023" s="18" t="str">
        <f>IFERROR(INDEX('المحافظات Governorates'!$E$2:$E$151,MATCH(D1023,'المحافظات Governorates'!$A$2:$A$151,0)),"")</f>
        <v>Tabuk</v>
      </c>
      <c r="I1023" s="18" t="str">
        <f>IFERROR(INDEX('المناطق Regions'!$C$2:$C$15,MATCH(B1023,'المناطق Regions'!$A$2:$A$15,0)),"")</f>
        <v>Tabuk</v>
      </c>
      <c r="J1023" s="18" t="str">
        <f>F1023&amp;", "&amp;E1023&amp;", Saudi Arabia"</f>
        <v>حاله عمار, تبوك, Saudi Arabia</v>
      </c>
      <c r="K1023" s="18">
        <v>29.161944</v>
      </c>
      <c r="L1023" s="18">
        <v>36.075833</v>
      </c>
      <c r="M1023" s="18">
        <v>2000</v>
      </c>
      <c r="N1023" s="18" t="s">
        <v>562</v>
      </c>
    </row>
    <row r="1024" ht="15" customHeight="1" spans="1:14" x14ac:dyDescent="0.25">
      <c r="A1024" s="11" t="s">
        <v>2611</v>
      </c>
      <c r="B1024" s="11">
        <v>7</v>
      </c>
      <c r="C1024" s="12" t="s">
        <v>70</v>
      </c>
      <c r="D1024" s="11" t="s">
        <v>387</v>
      </c>
      <c r="E1024" s="12" t="s">
        <v>70</v>
      </c>
      <c r="F1024" s="12" t="s">
        <v>2612</v>
      </c>
      <c r="G1024" s="11" t="s">
        <v>113</v>
      </c>
      <c r="H1024" s="18" t="str">
        <f>IFERROR(INDEX('المحافظات Governorates'!$E$2:$E$151,MATCH(D1024,'المحافظات Governorates'!$A$2:$A$151,0)),"")</f>
        <v>Tabuk</v>
      </c>
      <c r="I1024" s="18" t="str">
        <f>IFERROR(INDEX('المناطق Regions'!$C$2:$C$15,MATCH(B1024,'المناطق Regions'!$A$2:$A$15,0)),"")</f>
        <v>Tabuk</v>
      </c>
      <c r="J1024" s="18" t="str">
        <f>F1024&amp;", "&amp;E1024&amp;", Saudi Arabia"</f>
        <v>بجده, تبوك, Saudi Arabia</v>
      </c>
      <c r="K1024" s="18">
        <v>28.527076</v>
      </c>
      <c r="L1024" s="18">
        <v>35.670481</v>
      </c>
      <c r="M1024" s="18">
        <v>2000</v>
      </c>
      <c r="N1024" s="18" t="s">
        <v>562</v>
      </c>
    </row>
    <row r="1025" ht="15" customHeight="1" spans="1:14" x14ac:dyDescent="0.25">
      <c r="A1025" s="13" t="s">
        <v>2613</v>
      </c>
      <c r="B1025" s="13">
        <v>7</v>
      </c>
      <c r="C1025" s="14" t="s">
        <v>70</v>
      </c>
      <c r="D1025" s="13" t="s">
        <v>387</v>
      </c>
      <c r="E1025" s="14" t="s">
        <v>70</v>
      </c>
      <c r="F1025" s="14" t="s">
        <v>2614</v>
      </c>
      <c r="G1025" s="13" t="s">
        <v>113</v>
      </c>
      <c r="H1025" s="18" t="str">
        <f>IFERROR(INDEX('المحافظات Governorates'!$E$2:$E$151,MATCH(D1025,'المحافظات Governorates'!$A$2:$A$151,0)),"")</f>
        <v>Tabuk</v>
      </c>
      <c r="I1025" s="18" t="str">
        <f>IFERROR(INDEX('المناطق Regions'!$C$2:$C$15,MATCH(B1025,'المناطق Regions'!$A$2:$A$15,0)),"")</f>
        <v>Tabuk</v>
      </c>
      <c r="J1025" s="18" t="str">
        <f>F1025&amp;", "&amp;E1025&amp;", Saudi Arabia"</f>
        <v>بئر بن هرماس, تبوك, Saudi Arabia</v>
      </c>
      <c r="K1025" s="18">
        <v>28.640211</v>
      </c>
      <c r="L1025" s="18">
        <v>37.116597</v>
      </c>
      <c r="M1025" s="18">
        <v>256484</v>
      </c>
      <c r="N1025" s="18" t="s">
        <v>2615</v>
      </c>
    </row>
    <row r="1026" ht="15" customHeight="1" spans="1:14" x14ac:dyDescent="0.25">
      <c r="A1026" s="11" t="s">
        <v>2616</v>
      </c>
      <c r="B1026" s="11">
        <v>7</v>
      </c>
      <c r="C1026" s="12" t="s">
        <v>70</v>
      </c>
      <c r="D1026" s="11" t="s">
        <v>387</v>
      </c>
      <c r="E1026" s="12" t="s">
        <v>70</v>
      </c>
      <c r="F1026" s="12" t="s">
        <v>2617</v>
      </c>
      <c r="G1026" s="11" t="s">
        <v>149</v>
      </c>
      <c r="H1026" s="18" t="str">
        <f>IFERROR(INDEX('المحافظات Governorates'!$E$2:$E$151,MATCH(D1026,'المحافظات Governorates'!$A$2:$A$151,0)),"")</f>
        <v>Tabuk</v>
      </c>
      <c r="I1026" s="18" t="str">
        <f>IFERROR(INDEX('المناطق Regions'!$C$2:$C$15,MATCH(B1026,'المناطق Regions'!$A$2:$A$15,0)),"")</f>
        <v>Tabuk</v>
      </c>
      <c r="J1026" s="18" t="str">
        <f>F1026&amp;", "&amp;E1026&amp;", Saudi Arabia"</f>
        <v>الهوج, تبوك, Saudi Arabia</v>
      </c>
      <c r="K1026" s="18">
        <v>28.888262</v>
      </c>
      <c r="L1026" s="18">
        <v>38.660924</v>
      </c>
      <c r="M1026" s="18">
        <v>2000</v>
      </c>
      <c r="N1026" s="18" t="s">
        <v>562</v>
      </c>
    </row>
    <row r="1027" ht="15" customHeight="1" spans="1:14" x14ac:dyDescent="0.25">
      <c r="A1027" s="13" t="s">
        <v>2618</v>
      </c>
      <c r="B1027" s="13">
        <v>7</v>
      </c>
      <c r="C1027" s="14" t="s">
        <v>70</v>
      </c>
      <c r="D1027" s="13" t="s">
        <v>387</v>
      </c>
      <c r="E1027" s="14" t="s">
        <v>70</v>
      </c>
      <c r="F1027" s="14" t="s">
        <v>2619</v>
      </c>
      <c r="G1027" s="13" t="s">
        <v>149</v>
      </c>
      <c r="H1027" s="18" t="str">
        <f>IFERROR(INDEX('المحافظات Governorates'!$E$2:$E$151,MATCH(D1027,'المحافظات Governorates'!$A$2:$A$151,0)),"")</f>
        <v>Tabuk</v>
      </c>
      <c r="I1027" s="18" t="str">
        <f>IFERROR(INDEX('المناطق Regions'!$C$2:$C$15,MATCH(B1027,'المناطق Regions'!$A$2:$A$15,0)),"")</f>
        <v>Tabuk</v>
      </c>
      <c r="J1027" s="18" t="str">
        <f>F1027&amp;", "&amp;E1027&amp;", Saudi Arabia"</f>
        <v>رحيب, تبوك, Saudi Arabia</v>
      </c>
      <c r="K1027" s="18">
        <v>27.469873</v>
      </c>
      <c r="L1027" s="18">
        <v>36.815626</v>
      </c>
      <c r="M1027" s="18">
        <v>2000</v>
      </c>
      <c r="N1027" s="18" t="s">
        <v>562</v>
      </c>
    </row>
    <row r="1028" ht="15" customHeight="1" spans="1:14" x14ac:dyDescent="0.25">
      <c r="A1028" s="11" t="s">
        <v>2620</v>
      </c>
      <c r="B1028" s="11">
        <v>7</v>
      </c>
      <c r="C1028" s="12" t="s">
        <v>70</v>
      </c>
      <c r="D1028" s="11" t="s">
        <v>387</v>
      </c>
      <c r="E1028" s="12" t="s">
        <v>70</v>
      </c>
      <c r="F1028" s="12" t="s">
        <v>2621</v>
      </c>
      <c r="G1028" s="11" t="s">
        <v>149</v>
      </c>
      <c r="H1028" s="18" t="str">
        <f>IFERROR(INDEX('المحافظات Governorates'!$E$2:$E$151,MATCH(D1028,'المحافظات Governorates'!$A$2:$A$151,0)),"")</f>
        <v>Tabuk</v>
      </c>
      <c r="I1028" s="18" t="str">
        <f>IFERROR(INDEX('المناطق Regions'!$C$2:$C$15,MATCH(B1028,'المناطق Regions'!$A$2:$A$15,0)),"")</f>
        <v>Tabuk</v>
      </c>
      <c r="J1028" s="18" t="str">
        <f>F1028&amp;", "&amp;E1028&amp;", Saudi Arabia"</f>
        <v>اللوز, تبوك, Saudi Arabia</v>
      </c>
      <c r="K1028" s="18">
        <v>28.654701</v>
      </c>
      <c r="L1028" s="18">
        <v>35.305229</v>
      </c>
      <c r="M1028" s="18">
        <v>2000</v>
      </c>
      <c r="N1028" s="18" t="s">
        <v>562</v>
      </c>
    </row>
    <row r="1029" ht="15" customHeight="1" spans="1:14" x14ac:dyDescent="0.25">
      <c r="A1029" s="13" t="s">
        <v>2622</v>
      </c>
      <c r="B1029" s="13">
        <v>7</v>
      </c>
      <c r="C1029" s="14" t="s">
        <v>70</v>
      </c>
      <c r="D1029" s="13" t="s">
        <v>387</v>
      </c>
      <c r="E1029" s="14" t="s">
        <v>70</v>
      </c>
      <c r="F1029" s="14" t="s">
        <v>2623</v>
      </c>
      <c r="G1029" s="13" t="s">
        <v>149</v>
      </c>
      <c r="H1029" s="18" t="str">
        <f>IFERROR(INDEX('المحافظات Governorates'!$E$2:$E$151,MATCH(D1029,'المحافظات Governorates'!$A$2:$A$151,0)),"")</f>
        <v>Tabuk</v>
      </c>
      <c r="I1029" s="18" t="str">
        <f>IFERROR(INDEX('المناطق Regions'!$C$2:$C$15,MATCH(B1029,'المناطق Regions'!$A$2:$A$15,0)),"")</f>
        <v>Tabuk</v>
      </c>
      <c r="J1029" s="18" t="str">
        <f>F1029&amp;", "&amp;E1029&amp;", Saudi Arabia"</f>
        <v>الاخضر, تبوك, Saudi Arabia</v>
      </c>
      <c r="K1029" s="18">
        <v>28.451678</v>
      </c>
      <c r="L1029" s="18">
        <v>36.732468</v>
      </c>
      <c r="M1029" s="18">
        <v>2000</v>
      </c>
      <c r="N1029" s="18" t="s">
        <v>562</v>
      </c>
    </row>
    <row r="1030" ht="15" customHeight="1" spans="1:14" x14ac:dyDescent="0.25">
      <c r="A1030" s="11" t="s">
        <v>2624</v>
      </c>
      <c r="B1030" s="11">
        <v>7</v>
      </c>
      <c r="C1030" s="12" t="s">
        <v>70</v>
      </c>
      <c r="D1030" s="11" t="s">
        <v>387</v>
      </c>
      <c r="E1030" s="12" t="s">
        <v>70</v>
      </c>
      <c r="F1030" s="12" t="s">
        <v>2038</v>
      </c>
      <c r="G1030" s="11" t="s">
        <v>149</v>
      </c>
      <c r="H1030" s="18" t="str">
        <f>IFERROR(INDEX('المحافظات Governorates'!$E$2:$E$151,MATCH(D1030,'المحافظات Governorates'!$A$2:$A$151,0)),"")</f>
        <v>Tabuk</v>
      </c>
      <c r="I1030" s="18" t="str">
        <f>IFERROR(INDEX('المناطق Regions'!$C$2:$C$15,MATCH(B1030,'المناطق Regions'!$A$2:$A$15,0)),"")</f>
        <v>Tabuk</v>
      </c>
      <c r="J1030" s="18" t="str">
        <f>F1030&amp;", "&amp;E1030&amp;", Saudi Arabia"</f>
        <v>البديعه, تبوك, Saudi Arabia</v>
      </c>
      <c r="K1030" s="18">
        <v>27.801996</v>
      </c>
      <c r="L1030" s="18">
        <v>36.544503</v>
      </c>
      <c r="M1030" s="18">
        <v>2000</v>
      </c>
      <c r="N1030" s="18" t="s">
        <v>562</v>
      </c>
    </row>
    <row r="1031" ht="15" customHeight="1" spans="1:14" x14ac:dyDescent="0.25">
      <c r="A1031" s="13" t="s">
        <v>2625</v>
      </c>
      <c r="B1031" s="13">
        <v>7</v>
      </c>
      <c r="C1031" s="14" t="s">
        <v>70</v>
      </c>
      <c r="D1031" s="13" t="s">
        <v>387</v>
      </c>
      <c r="E1031" s="14" t="s">
        <v>70</v>
      </c>
      <c r="F1031" s="14" t="s">
        <v>1793</v>
      </c>
      <c r="G1031" s="13" t="s">
        <v>149</v>
      </c>
      <c r="H1031" s="18" t="str">
        <f>IFERROR(INDEX('المحافظات Governorates'!$E$2:$E$151,MATCH(D1031,'المحافظات Governorates'!$A$2:$A$151,0)),"")</f>
        <v>Tabuk</v>
      </c>
      <c r="I1031" s="18" t="str">
        <f>IFERROR(INDEX('المناطق Regions'!$C$2:$C$15,MATCH(B1031,'المناطق Regions'!$A$2:$A$15,0)),"")</f>
        <v>Tabuk</v>
      </c>
      <c r="J1031" s="18" t="str">
        <f>F1031&amp;", "&amp;E1031&amp;", Saudi Arabia"</f>
        <v>العيينه, تبوك, Saudi Arabia</v>
      </c>
      <c r="K1031" s="18">
        <v>28.640211</v>
      </c>
      <c r="L1031" s="18">
        <v>37.116597</v>
      </c>
      <c r="M1031" s="18">
        <v>256484</v>
      </c>
      <c r="N1031" s="18" t="s">
        <v>2615</v>
      </c>
    </row>
    <row r="1032" ht="15" customHeight="1" spans="1:14" x14ac:dyDescent="0.25">
      <c r="A1032" s="11" t="s">
        <v>2626</v>
      </c>
      <c r="B1032" s="11">
        <v>7</v>
      </c>
      <c r="C1032" s="12" t="s">
        <v>70</v>
      </c>
      <c r="D1032" s="11" t="s">
        <v>387</v>
      </c>
      <c r="E1032" s="12" t="s">
        <v>70</v>
      </c>
      <c r="F1032" s="12" t="s">
        <v>2627</v>
      </c>
      <c r="G1032" s="11" t="s">
        <v>149</v>
      </c>
      <c r="H1032" s="18" t="str">
        <f>IFERROR(INDEX('المحافظات Governorates'!$E$2:$E$151,MATCH(D1032,'المحافظات Governorates'!$A$2:$A$151,0)),"")</f>
        <v>Tabuk</v>
      </c>
      <c r="I1032" s="18" t="str">
        <f>IFERROR(INDEX('المناطق Regions'!$C$2:$C$15,MATCH(B1032,'المناطق Regions'!$A$2:$A$15,0)),"")</f>
        <v>Tabuk</v>
      </c>
      <c r="J1032" s="18" t="str">
        <f>F1032&amp;", "&amp;E1032&amp;", Saudi Arabia"</f>
        <v>ذات الحاج, تبوك, Saudi Arabia</v>
      </c>
      <c r="K1032" s="18">
        <v>29.046369</v>
      </c>
      <c r="L1032" s="18">
        <v>36.166799</v>
      </c>
      <c r="M1032" s="18">
        <v>2000</v>
      </c>
      <c r="N1032" s="18" t="s">
        <v>562</v>
      </c>
    </row>
    <row r="1033" ht="15" customHeight="1" spans="1:14" x14ac:dyDescent="0.25">
      <c r="A1033" s="13" t="s">
        <v>2628</v>
      </c>
      <c r="B1033" s="13">
        <v>7</v>
      </c>
      <c r="C1033" s="14" t="s">
        <v>70</v>
      </c>
      <c r="D1033" s="13" t="s">
        <v>387</v>
      </c>
      <c r="E1033" s="14" t="s">
        <v>70</v>
      </c>
      <c r="F1033" s="14" t="s">
        <v>1858</v>
      </c>
      <c r="G1033" s="13" t="s">
        <v>149</v>
      </c>
      <c r="H1033" s="18" t="str">
        <f>IFERROR(INDEX('المحافظات Governorates'!$E$2:$E$151,MATCH(D1033,'المحافظات Governorates'!$A$2:$A$151,0)),"")</f>
        <v>Tabuk</v>
      </c>
      <c r="I1033" s="18" t="str">
        <f>IFERROR(INDEX('المناطق Regions'!$C$2:$C$15,MATCH(B1033,'المناطق Regions'!$A$2:$A$15,0)),"")</f>
        <v>Tabuk</v>
      </c>
      <c r="J1033" s="18" t="str">
        <f>F1033&amp;", "&amp;E1033&amp;", Saudi Arabia"</f>
        <v>البديع, تبوك, Saudi Arabia</v>
      </c>
      <c r="K1033" s="18">
        <v>28.640211</v>
      </c>
      <c r="L1033" s="18">
        <v>37.116597</v>
      </c>
      <c r="M1033" s="18">
        <v>256484</v>
      </c>
      <c r="N1033" s="18" t="s">
        <v>2615</v>
      </c>
    </row>
    <row r="1034" ht="15" customHeight="1" spans="1:14" x14ac:dyDescent="0.25">
      <c r="A1034" s="11" t="s">
        <v>2629</v>
      </c>
      <c r="B1034" s="11">
        <v>7</v>
      </c>
      <c r="C1034" s="12" t="s">
        <v>70</v>
      </c>
      <c r="D1034" s="11" t="s">
        <v>387</v>
      </c>
      <c r="E1034" s="12" t="s">
        <v>70</v>
      </c>
      <c r="F1034" s="12" t="s">
        <v>2630</v>
      </c>
      <c r="G1034" s="11" t="s">
        <v>149</v>
      </c>
      <c r="H1034" s="18" t="str">
        <f>IFERROR(INDEX('المحافظات Governorates'!$E$2:$E$151,MATCH(D1034,'المحافظات Governorates'!$A$2:$A$151,0)),"")</f>
        <v>Tabuk</v>
      </c>
      <c r="I1034" s="18" t="str">
        <f>IFERROR(INDEX('المناطق Regions'!$C$2:$C$15,MATCH(B1034,'المناطق Regions'!$A$2:$A$15,0)),"")</f>
        <v>Tabuk</v>
      </c>
      <c r="J1034" s="18" t="str">
        <f>F1034&amp;", "&amp;E1034&amp;", Saudi Arabia"</f>
        <v>الشايب, تبوك, Saudi Arabia</v>
      </c>
      <c r="K1034" s="18">
        <v>28.989605</v>
      </c>
      <c r="L1034" s="18">
        <v>37.110485</v>
      </c>
      <c r="M1034" s="18">
        <v>2000</v>
      </c>
      <c r="N1034" s="18" t="s">
        <v>562</v>
      </c>
    </row>
    <row r="1035" ht="15" customHeight="1" spans="1:14" x14ac:dyDescent="0.25">
      <c r="A1035" s="13" t="s">
        <v>2631</v>
      </c>
      <c r="B1035" s="13">
        <v>7</v>
      </c>
      <c r="C1035" s="14" t="s">
        <v>70</v>
      </c>
      <c r="D1035" s="13" t="s">
        <v>387</v>
      </c>
      <c r="E1035" s="14" t="s">
        <v>70</v>
      </c>
      <c r="F1035" s="14" t="s">
        <v>2632</v>
      </c>
      <c r="G1035" s="13" t="s">
        <v>149</v>
      </c>
      <c r="H1035" s="18" t="str">
        <f>IFERROR(INDEX('المحافظات Governorates'!$E$2:$E$151,MATCH(D1035,'المحافظات Governorates'!$A$2:$A$151,0)),"")</f>
        <v>Tabuk</v>
      </c>
      <c r="I1035" s="18" t="str">
        <f>IFERROR(INDEX('المناطق Regions'!$C$2:$C$15,MATCH(B1035,'المناطق Regions'!$A$2:$A$15,0)),"")</f>
        <v>Tabuk</v>
      </c>
      <c r="J1035" s="18" t="str">
        <f>F1035&amp;", "&amp;E1035&amp;", Saudi Arabia"</f>
        <v>كلوه, تبوك, Saudi Arabia</v>
      </c>
      <c r="K1035" s="18">
        <v>29.69798</v>
      </c>
      <c r="L1035" s="18">
        <v>37.546085</v>
      </c>
      <c r="M1035" s="18">
        <v>2000</v>
      </c>
      <c r="N1035" s="18" t="s">
        <v>562</v>
      </c>
    </row>
    <row r="1036" ht="15" customHeight="1" spans="1:14" x14ac:dyDescent="0.25">
      <c r="A1036" s="11" t="s">
        <v>2633</v>
      </c>
      <c r="B1036" s="11">
        <v>7</v>
      </c>
      <c r="C1036" s="12" t="s">
        <v>70</v>
      </c>
      <c r="D1036" s="11" t="s">
        <v>387</v>
      </c>
      <c r="E1036" s="12" t="s">
        <v>70</v>
      </c>
      <c r="F1036" s="12" t="s">
        <v>2634</v>
      </c>
      <c r="G1036" s="11" t="s">
        <v>149</v>
      </c>
      <c r="H1036" s="18" t="str">
        <f>IFERROR(INDEX('المحافظات Governorates'!$E$2:$E$151,MATCH(D1036,'المحافظات Governorates'!$A$2:$A$151,0)),"")</f>
        <v>Tabuk</v>
      </c>
      <c r="I1036" s="18" t="str">
        <f>IFERROR(INDEX('المناطق Regions'!$C$2:$C$15,MATCH(B1036,'المناطق Regions'!$A$2:$A$15,0)),"")</f>
        <v>Tabuk</v>
      </c>
      <c r="J1036" s="18" t="str">
        <f>F1036&amp;", "&amp;E1036&amp;", Saudi Arabia"</f>
        <v>السرو, تبوك, Saudi Arabia</v>
      </c>
      <c r="K1036" s="18">
        <v>28.415679</v>
      </c>
      <c r="L1036" s="18">
        <v>35.53751</v>
      </c>
      <c r="M1036" s="18">
        <v>2000</v>
      </c>
      <c r="N1036" s="18" t="s">
        <v>562</v>
      </c>
    </row>
    <row r="1037" ht="15" customHeight="1" spans="1:14" x14ac:dyDescent="0.25">
      <c r="A1037" s="13" t="s">
        <v>2635</v>
      </c>
      <c r="B1037" s="13">
        <v>7</v>
      </c>
      <c r="C1037" s="14" t="s">
        <v>70</v>
      </c>
      <c r="D1037" s="13" t="s">
        <v>387</v>
      </c>
      <c r="E1037" s="14" t="s">
        <v>70</v>
      </c>
      <c r="F1037" s="14" t="s">
        <v>2636</v>
      </c>
      <c r="G1037" s="13" t="s">
        <v>149</v>
      </c>
      <c r="H1037" s="18" t="str">
        <f>IFERROR(INDEX('المحافظات Governorates'!$E$2:$E$151,MATCH(D1037,'المحافظات Governorates'!$A$2:$A$151,0)),"")</f>
        <v>Tabuk</v>
      </c>
      <c r="I1037" s="18" t="str">
        <f>IFERROR(INDEX('المناطق Regions'!$C$2:$C$15,MATCH(B1037,'المناطق Regions'!$A$2:$A$15,0)),"")</f>
        <v>Tabuk</v>
      </c>
      <c r="J1037" s="18" t="str">
        <f>F1037&amp;", "&amp;E1037&amp;", Saudi Arabia"</f>
        <v>الضلفه, تبوك, Saudi Arabia</v>
      </c>
      <c r="K1037" s="18">
        <v>28.640211</v>
      </c>
      <c r="L1037" s="18">
        <v>37.116597</v>
      </c>
      <c r="M1037" s="18">
        <v>256484</v>
      </c>
      <c r="N1037" s="18" t="s">
        <v>2615</v>
      </c>
    </row>
    <row r="1038" ht="15" customHeight="1" spans="1:14" x14ac:dyDescent="0.25">
      <c r="A1038" s="11" t="s">
        <v>2637</v>
      </c>
      <c r="B1038" s="11">
        <v>7</v>
      </c>
      <c r="C1038" s="12" t="s">
        <v>70</v>
      </c>
      <c r="D1038" s="11" t="s">
        <v>387</v>
      </c>
      <c r="E1038" s="12" t="s">
        <v>70</v>
      </c>
      <c r="F1038" s="12" t="s">
        <v>2638</v>
      </c>
      <c r="G1038" s="11" t="s">
        <v>149</v>
      </c>
      <c r="H1038" s="18" t="str">
        <f>IFERROR(INDEX('المحافظات Governorates'!$E$2:$E$151,MATCH(D1038,'المحافظات Governorates'!$A$2:$A$151,0)),"")</f>
        <v>Tabuk</v>
      </c>
      <c r="I1038" s="18" t="str">
        <f>IFERROR(INDEX('المناطق Regions'!$C$2:$C$15,MATCH(B1038,'المناطق Regions'!$A$2:$A$15,0)),"")</f>
        <v>Tabuk</v>
      </c>
      <c r="J1038" s="18" t="str">
        <f>F1038&amp;", "&amp;E1038&amp;", Saudi Arabia"</f>
        <v>نعمى, تبوك, Saudi Arabia</v>
      </c>
      <c r="K1038" s="18">
        <v>28.156604</v>
      </c>
      <c r="L1038" s="18">
        <v>35.722856</v>
      </c>
      <c r="M1038" s="18">
        <v>2000</v>
      </c>
      <c r="N1038" s="18" t="s">
        <v>562</v>
      </c>
    </row>
    <row r="1039" ht="15" customHeight="1" spans="1:14" x14ac:dyDescent="0.25">
      <c r="A1039" s="13" t="s">
        <v>2639</v>
      </c>
      <c r="B1039" s="13">
        <v>7</v>
      </c>
      <c r="C1039" s="14" t="s">
        <v>70</v>
      </c>
      <c r="D1039" s="13" t="s">
        <v>394</v>
      </c>
      <c r="E1039" s="14" t="s">
        <v>395</v>
      </c>
      <c r="F1039" s="14" t="s">
        <v>2640</v>
      </c>
      <c r="G1039" s="13" t="s">
        <v>113</v>
      </c>
      <c r="H1039" s="18" t="str">
        <f>IFERROR(INDEX('المحافظات Governorates'!$E$2:$E$151,MATCH(D1039,'المحافظات Governorates'!$A$2:$A$151,0)),"")</f>
        <v>Tayma</v>
      </c>
      <c r="I1039" s="18" t="str">
        <f>IFERROR(INDEX('المناطق Regions'!$C$2:$C$15,MATCH(B1039,'المناطق Regions'!$A$2:$A$15,0)),"")</f>
        <v>Tabuk</v>
      </c>
      <c r="J1039" s="18" t="str">
        <f>F1039&amp;", "&amp;E1039&amp;", Saudi Arabia"</f>
        <v>القليبه, تيماء, Saudi Arabia</v>
      </c>
      <c r="K1039" s="18">
        <v>27.616739</v>
      </c>
      <c r="L1039" s="18">
        <v>38.85881</v>
      </c>
      <c r="M1039" s="18">
        <v>165371</v>
      </c>
      <c r="N1039" s="18" t="s">
        <v>2641</v>
      </c>
    </row>
    <row r="1040" ht="15" customHeight="1" spans="1:14" x14ac:dyDescent="0.25">
      <c r="A1040" s="11" t="s">
        <v>2642</v>
      </c>
      <c r="B1040" s="11">
        <v>7</v>
      </c>
      <c r="C1040" s="12" t="s">
        <v>70</v>
      </c>
      <c r="D1040" s="11" t="s">
        <v>394</v>
      </c>
      <c r="E1040" s="12" t="s">
        <v>395</v>
      </c>
      <c r="F1040" s="12" t="s">
        <v>2643</v>
      </c>
      <c r="G1040" s="11" t="s">
        <v>149</v>
      </c>
      <c r="H1040" s="18" t="str">
        <f>IFERROR(INDEX('المحافظات Governorates'!$E$2:$E$151,MATCH(D1040,'المحافظات Governorates'!$A$2:$A$151,0)),"")</f>
        <v>Tayma</v>
      </c>
      <c r="I1040" s="18" t="str">
        <f>IFERROR(INDEX('المناطق Regions'!$C$2:$C$15,MATCH(B1040,'المناطق Regions'!$A$2:$A$15,0)),"")</f>
        <v>Tabuk</v>
      </c>
      <c r="J1040" s="18" t="str">
        <f>F1040&amp;", "&amp;E1040&amp;", Saudi Arabia"</f>
        <v>المعظم, تيماء, Saudi Arabia</v>
      </c>
      <c r="K1040" s="18">
        <v>27.616739</v>
      </c>
      <c r="L1040" s="18">
        <v>38.85881</v>
      </c>
      <c r="M1040" s="18">
        <v>165371</v>
      </c>
      <c r="N1040" s="18" t="s">
        <v>2641</v>
      </c>
    </row>
    <row r="1041" ht="15" customHeight="1" spans="1:14" x14ac:dyDescent="0.25">
      <c r="A1041" s="13" t="s">
        <v>2644</v>
      </c>
      <c r="B1041" s="13">
        <v>7</v>
      </c>
      <c r="C1041" s="14" t="s">
        <v>70</v>
      </c>
      <c r="D1041" s="13" t="s">
        <v>394</v>
      </c>
      <c r="E1041" s="14" t="s">
        <v>395</v>
      </c>
      <c r="F1041" s="14" t="s">
        <v>2645</v>
      </c>
      <c r="G1041" s="13" t="s">
        <v>113</v>
      </c>
      <c r="H1041" s="18" t="str">
        <f>IFERROR(INDEX('المحافظات Governorates'!$E$2:$E$151,MATCH(D1041,'المحافظات Governorates'!$A$2:$A$151,0)),"")</f>
        <v>Tayma</v>
      </c>
      <c r="I1041" s="18" t="str">
        <f>IFERROR(INDEX('المناطق Regions'!$C$2:$C$15,MATCH(B1041,'المناطق Regions'!$A$2:$A$15,0)),"")</f>
        <v>Tabuk</v>
      </c>
      <c r="J1041" s="18" t="str">
        <f>F1041&amp;", "&amp;E1041&amp;", Saudi Arabia"</f>
        <v>فجر, تيماء, Saudi Arabia</v>
      </c>
      <c r="K1041" s="18">
        <v>27.616739</v>
      </c>
      <c r="L1041" s="18">
        <v>38.85881</v>
      </c>
      <c r="M1041" s="18">
        <v>165371</v>
      </c>
      <c r="N1041" s="18" t="s">
        <v>2641</v>
      </c>
    </row>
    <row r="1042" ht="15" customHeight="1" spans="1:14" x14ac:dyDescent="0.25">
      <c r="A1042" s="11" t="s">
        <v>2646</v>
      </c>
      <c r="B1042" s="11">
        <v>7</v>
      </c>
      <c r="C1042" s="12" t="s">
        <v>70</v>
      </c>
      <c r="D1042" s="11" t="s">
        <v>387</v>
      </c>
      <c r="E1042" s="12" t="s">
        <v>70</v>
      </c>
      <c r="F1042" s="12" t="s">
        <v>2647</v>
      </c>
      <c r="G1042" s="11" t="s">
        <v>149</v>
      </c>
      <c r="H1042" s="18" t="str">
        <f>IFERROR(INDEX('المحافظات Governorates'!$E$2:$E$151,MATCH(D1042,'المحافظات Governorates'!$A$2:$A$151,0)),"")</f>
        <v>Tabuk</v>
      </c>
      <c r="I1042" s="18" t="str">
        <f>IFERROR(INDEX('المناطق Regions'!$C$2:$C$15,MATCH(B1042,'المناطق Regions'!$A$2:$A$15,0)),"")</f>
        <v>Tabuk</v>
      </c>
      <c r="J1042" s="18" t="str">
        <f>F1042&amp;", "&amp;E1042&amp;", Saudi Arabia"</f>
        <v>الحوي, تبوك, Saudi Arabia</v>
      </c>
      <c r="K1042" s="18">
        <v>28.640211</v>
      </c>
      <c r="L1042" s="18">
        <v>37.116597</v>
      </c>
      <c r="M1042" s="18">
        <v>256484</v>
      </c>
      <c r="N1042" s="18" t="s">
        <v>2615</v>
      </c>
    </row>
    <row r="1043" ht="15" customHeight="1" spans="1:14" x14ac:dyDescent="0.25">
      <c r="A1043" s="13" t="s">
        <v>2648</v>
      </c>
      <c r="B1043" s="13">
        <v>7</v>
      </c>
      <c r="C1043" s="14" t="s">
        <v>70</v>
      </c>
      <c r="D1043" s="13" t="s">
        <v>388</v>
      </c>
      <c r="E1043" s="14" t="s">
        <v>389</v>
      </c>
      <c r="F1043" s="14" t="s">
        <v>835</v>
      </c>
      <c r="G1043" s="13" t="s">
        <v>113</v>
      </c>
      <c r="H1043" s="18" t="str">
        <f>IFERROR(INDEX('المحافظات Governorates'!$E$2:$E$151,MATCH(D1043,'المحافظات Governorates'!$A$2:$A$151,0)),"")</f>
        <v>Al-Wajh</v>
      </c>
      <c r="I1043" s="18" t="str">
        <f>IFERROR(INDEX('المناطق Regions'!$C$2:$C$15,MATCH(B1043,'المناطق Regions'!$A$2:$A$15,0)),"")</f>
        <v>Tabuk</v>
      </c>
      <c r="J1043" s="18" t="str">
        <f>F1043&amp;", "&amp;E1043&amp;", Saudi Arabia"</f>
        <v>المنجور, الوجه, Saudi Arabia</v>
      </c>
      <c r="K1043" s="18">
        <v>25.948311</v>
      </c>
      <c r="L1043" s="18">
        <v>37.219962</v>
      </c>
      <c r="M1043" s="18">
        <v>2000</v>
      </c>
      <c r="N1043" s="18" t="s">
        <v>562</v>
      </c>
    </row>
    <row r="1044" ht="15" customHeight="1" spans="1:14" x14ac:dyDescent="0.25">
      <c r="A1044" s="11" t="s">
        <v>2649</v>
      </c>
      <c r="B1044" s="11">
        <v>7</v>
      </c>
      <c r="C1044" s="12" t="s">
        <v>70</v>
      </c>
      <c r="D1044" s="11" t="s">
        <v>388</v>
      </c>
      <c r="E1044" s="12" t="s">
        <v>389</v>
      </c>
      <c r="F1044" s="12" t="s">
        <v>2650</v>
      </c>
      <c r="G1044" s="11" t="s">
        <v>113</v>
      </c>
      <c r="H1044" s="18" t="str">
        <f>IFERROR(INDEX('المحافظات Governorates'!$E$2:$E$151,MATCH(D1044,'المحافظات Governorates'!$A$2:$A$151,0)),"")</f>
        <v>Al-Wajh</v>
      </c>
      <c r="I1044" s="18" t="str">
        <f>IFERROR(INDEX('المناطق Regions'!$C$2:$C$15,MATCH(B1044,'المناطق Regions'!$A$2:$A$15,0)),"")</f>
        <v>Tabuk</v>
      </c>
      <c r="J1044" s="18" t="str">
        <f>F1044&amp;", "&amp;E1044&amp;", Saudi Arabia"</f>
        <v>ابو القزاز, الوجه, Saudi Arabia</v>
      </c>
      <c r="K1044" s="18">
        <v>26.769134</v>
      </c>
      <c r="L1044" s="18">
        <v>36.689149</v>
      </c>
      <c r="M1044" s="18">
        <v>2000</v>
      </c>
      <c r="N1044" s="18" t="s">
        <v>562</v>
      </c>
    </row>
    <row r="1045" ht="15" customHeight="1" spans="1:14" x14ac:dyDescent="0.25">
      <c r="A1045" s="13" t="s">
        <v>2651</v>
      </c>
      <c r="B1045" s="13">
        <v>7</v>
      </c>
      <c r="C1045" s="14" t="s">
        <v>70</v>
      </c>
      <c r="D1045" s="13" t="s">
        <v>388</v>
      </c>
      <c r="E1045" s="14" t="s">
        <v>389</v>
      </c>
      <c r="F1045" s="14" t="s">
        <v>2652</v>
      </c>
      <c r="G1045" s="13" t="s">
        <v>113</v>
      </c>
      <c r="H1045" s="18" t="str">
        <f>IFERROR(INDEX('المحافظات Governorates'!$E$2:$E$151,MATCH(D1045,'المحافظات Governorates'!$A$2:$A$151,0)),"")</f>
        <v>Al-Wajh</v>
      </c>
      <c r="I1045" s="18" t="str">
        <f>IFERROR(INDEX('المناطق Regions'!$C$2:$C$15,MATCH(B1045,'المناطق Regions'!$A$2:$A$15,0)),"")</f>
        <v>Tabuk</v>
      </c>
      <c r="J1045" s="18" t="str">
        <f>F1045&amp;", "&amp;E1045&amp;", Saudi Arabia"</f>
        <v>بداء, الوجه, Saudi Arabia</v>
      </c>
      <c r="K1045" s="18">
        <v>26.844607</v>
      </c>
      <c r="L1045" s="18">
        <v>36.917195</v>
      </c>
      <c r="M1045" s="18">
        <v>2000</v>
      </c>
      <c r="N1045" s="18" t="s">
        <v>562</v>
      </c>
    </row>
    <row r="1046" ht="15" customHeight="1" spans="1:14" x14ac:dyDescent="0.25">
      <c r="A1046" s="11" t="s">
        <v>2653</v>
      </c>
      <c r="B1046" s="11">
        <v>7</v>
      </c>
      <c r="C1046" s="12" t="s">
        <v>70</v>
      </c>
      <c r="D1046" s="11" t="s">
        <v>388</v>
      </c>
      <c r="E1046" s="12" t="s">
        <v>389</v>
      </c>
      <c r="F1046" s="12" t="s">
        <v>2654</v>
      </c>
      <c r="G1046" s="11" t="s">
        <v>149</v>
      </c>
      <c r="H1046" s="18" t="str">
        <f>IFERROR(INDEX('المحافظات Governorates'!$E$2:$E$151,MATCH(D1046,'المحافظات Governorates'!$A$2:$A$151,0)),"")</f>
        <v>Al-Wajh</v>
      </c>
      <c r="I1046" s="18" t="str">
        <f>IFERROR(INDEX('المناطق Regions'!$C$2:$C$15,MATCH(B1046,'المناطق Regions'!$A$2:$A$15,0)),"")</f>
        <v>Tabuk</v>
      </c>
      <c r="J1046" s="18" t="str">
        <f>F1046&amp;", "&amp;E1046&amp;", Saudi Arabia"</f>
        <v>خرباء, الوجه, Saudi Arabia</v>
      </c>
      <c r="K1046" s="18">
        <v>26.662286</v>
      </c>
      <c r="L1046" s="18">
        <v>36.949172</v>
      </c>
      <c r="M1046" s="18">
        <v>125972</v>
      </c>
      <c r="N1046" s="18" t="s">
        <v>2655</v>
      </c>
    </row>
    <row r="1047" ht="15" customHeight="1" spans="1:14" x14ac:dyDescent="0.25">
      <c r="A1047" s="13" t="s">
        <v>2656</v>
      </c>
      <c r="B1047" s="13">
        <v>7</v>
      </c>
      <c r="C1047" s="14" t="s">
        <v>70</v>
      </c>
      <c r="D1047" s="13" t="s">
        <v>388</v>
      </c>
      <c r="E1047" s="14" t="s">
        <v>389</v>
      </c>
      <c r="F1047" s="14" t="s">
        <v>2657</v>
      </c>
      <c r="G1047" s="13" t="s">
        <v>113</v>
      </c>
      <c r="H1047" s="18" t="str">
        <f>IFERROR(INDEX('المحافظات Governorates'!$E$2:$E$151,MATCH(D1047,'المحافظات Governorates'!$A$2:$A$151,0)),"")</f>
        <v>Al-Wajh</v>
      </c>
      <c r="I1047" s="18" t="str">
        <f>IFERROR(INDEX('المناطق Regions'!$C$2:$C$15,MATCH(B1047,'المناطق Regions'!$A$2:$A$15,0)),"")</f>
        <v>Tabuk</v>
      </c>
      <c r="J1047" s="18" t="str">
        <f>F1047&amp;", "&amp;E1047&amp;", Saudi Arabia"</f>
        <v>النابع, الوجه, Saudi Arabia</v>
      </c>
      <c r="K1047" s="18">
        <v>26.380966</v>
      </c>
      <c r="L1047" s="18">
        <v>37.045694</v>
      </c>
      <c r="M1047" s="18">
        <v>2000</v>
      </c>
      <c r="N1047" s="18" t="s">
        <v>562</v>
      </c>
    </row>
    <row r="1048" ht="15" customHeight="1" spans="1:14" x14ac:dyDescent="0.25">
      <c r="A1048" s="11" t="s">
        <v>2658</v>
      </c>
      <c r="B1048" s="11">
        <v>7</v>
      </c>
      <c r="C1048" s="12" t="s">
        <v>70</v>
      </c>
      <c r="D1048" s="11" t="s">
        <v>388</v>
      </c>
      <c r="E1048" s="12" t="s">
        <v>389</v>
      </c>
      <c r="F1048" s="12" t="s">
        <v>2659</v>
      </c>
      <c r="G1048" s="11" t="s">
        <v>113</v>
      </c>
      <c r="H1048" s="18" t="str">
        <f>IFERROR(INDEX('المحافظات Governorates'!$E$2:$E$151,MATCH(D1048,'المحافظات Governorates'!$A$2:$A$151,0)),"")</f>
        <v>Al-Wajh</v>
      </c>
      <c r="I1048" s="18" t="str">
        <f>IFERROR(INDEX('المناطق Regions'!$C$2:$C$15,MATCH(B1048,'المناطق Regions'!$A$2:$A$15,0)),"")</f>
        <v>Tabuk</v>
      </c>
      <c r="J1048" s="18" t="str">
        <f>F1048&amp;", "&amp;E1048&amp;", Saudi Arabia"</f>
        <v>الكر, الوجه, Saudi Arabia</v>
      </c>
      <c r="K1048" s="18">
        <v>26.607297</v>
      </c>
      <c r="L1048" s="18">
        <v>36.851476</v>
      </c>
      <c r="M1048" s="18">
        <v>2000</v>
      </c>
      <c r="N1048" s="18" t="s">
        <v>562</v>
      </c>
    </row>
    <row r="1049" ht="15" customHeight="1" spans="1:14" x14ac:dyDescent="0.25">
      <c r="A1049" s="13" t="s">
        <v>2660</v>
      </c>
      <c r="B1049" s="13">
        <v>7</v>
      </c>
      <c r="C1049" s="14" t="s">
        <v>70</v>
      </c>
      <c r="D1049" s="13" t="s">
        <v>388</v>
      </c>
      <c r="E1049" s="14" t="s">
        <v>389</v>
      </c>
      <c r="F1049" s="14" t="s">
        <v>2661</v>
      </c>
      <c r="G1049" s="13" t="s">
        <v>149</v>
      </c>
      <c r="H1049" s="18" t="str">
        <f>IFERROR(INDEX('المحافظات Governorates'!$E$2:$E$151,MATCH(D1049,'المحافظات Governorates'!$A$2:$A$151,0)),"")</f>
        <v>Al-Wajh</v>
      </c>
      <c r="I1049" s="18" t="str">
        <f>IFERROR(INDEX('المناطق Regions'!$C$2:$C$15,MATCH(B1049,'المناطق Regions'!$A$2:$A$15,0)),"")</f>
        <v>Tabuk</v>
      </c>
      <c r="J1049" s="18" t="str">
        <f>F1049&amp;", "&amp;E1049&amp;", Saudi Arabia"</f>
        <v>السديد, الوجه, Saudi Arabia</v>
      </c>
      <c r="K1049" s="18">
        <v>26.662286</v>
      </c>
      <c r="L1049" s="18">
        <v>36.949172</v>
      </c>
      <c r="M1049" s="18">
        <v>125972</v>
      </c>
      <c r="N1049" s="18" t="s">
        <v>2655</v>
      </c>
    </row>
    <row r="1050" ht="15" customHeight="1" spans="1:14" x14ac:dyDescent="0.25">
      <c r="A1050" s="11" t="s">
        <v>2662</v>
      </c>
      <c r="B1050" s="11">
        <v>7</v>
      </c>
      <c r="C1050" s="12" t="s">
        <v>70</v>
      </c>
      <c r="D1050" s="11" t="s">
        <v>388</v>
      </c>
      <c r="E1050" s="12" t="s">
        <v>389</v>
      </c>
      <c r="F1050" s="12" t="s">
        <v>266</v>
      </c>
      <c r="G1050" s="11" t="s">
        <v>149</v>
      </c>
      <c r="H1050" s="18" t="str">
        <f>IFERROR(INDEX('المحافظات Governorates'!$E$2:$E$151,MATCH(D1050,'المحافظات Governorates'!$A$2:$A$151,0)),"")</f>
        <v>Al-Wajh</v>
      </c>
      <c r="I1050" s="18" t="str">
        <f>IFERROR(INDEX('المناطق Regions'!$C$2:$C$15,MATCH(B1050,'المناطق Regions'!$A$2:$A$15,0)),"")</f>
        <v>Tabuk</v>
      </c>
      <c r="J1050" s="18" t="str">
        <f>F1050&amp;", "&amp;E1050&amp;", Saudi Arabia"</f>
        <v>الرس, الوجه, Saudi Arabia</v>
      </c>
      <c r="K1050" s="18">
        <v>26.3819</v>
      </c>
      <c r="L1050" s="18">
        <v>36.4398</v>
      </c>
      <c r="M1050" s="18">
        <v>2000</v>
      </c>
      <c r="N1050" s="18" t="s">
        <v>562</v>
      </c>
    </row>
    <row r="1051" ht="15" customHeight="1" spans="1:14" x14ac:dyDescent="0.25">
      <c r="A1051" s="13" t="s">
        <v>2663</v>
      </c>
      <c r="B1051" s="13">
        <v>7</v>
      </c>
      <c r="C1051" s="14" t="s">
        <v>70</v>
      </c>
      <c r="D1051" s="13" t="s">
        <v>388</v>
      </c>
      <c r="E1051" s="14" t="s">
        <v>389</v>
      </c>
      <c r="F1051" s="14" t="s">
        <v>2664</v>
      </c>
      <c r="G1051" s="13" t="s">
        <v>149</v>
      </c>
      <c r="H1051" s="18" t="str">
        <f>IFERROR(INDEX('المحافظات Governorates'!$E$2:$E$151,MATCH(D1051,'المحافظات Governorates'!$A$2:$A$151,0)),"")</f>
        <v>Al-Wajh</v>
      </c>
      <c r="I1051" s="18" t="str">
        <f>IFERROR(INDEX('المناطق Regions'!$C$2:$C$15,MATCH(B1051,'المناطق Regions'!$A$2:$A$15,0)),"")</f>
        <v>Tabuk</v>
      </c>
      <c r="J1051" s="18" t="str">
        <f>F1051&amp;", "&amp;E1051&amp;", Saudi Arabia"</f>
        <v>عنتر, الوجه, Saudi Arabia</v>
      </c>
      <c r="K1051" s="18">
        <v>26.64454</v>
      </c>
      <c r="L1051" s="18">
        <v>36.400987</v>
      </c>
      <c r="M1051" s="18">
        <v>2000</v>
      </c>
      <c r="N1051" s="18" t="s">
        <v>562</v>
      </c>
    </row>
    <row r="1052" ht="15" customHeight="1" spans="1:14" x14ac:dyDescent="0.25">
      <c r="A1052" s="11" t="s">
        <v>2665</v>
      </c>
      <c r="B1052" s="11">
        <v>7</v>
      </c>
      <c r="C1052" s="12" t="s">
        <v>70</v>
      </c>
      <c r="D1052" s="11" t="s">
        <v>388</v>
      </c>
      <c r="E1052" s="12" t="s">
        <v>389</v>
      </c>
      <c r="F1052" s="12" t="s">
        <v>2666</v>
      </c>
      <c r="G1052" s="11" t="s">
        <v>149</v>
      </c>
      <c r="H1052" s="18" t="str">
        <f>IFERROR(INDEX('المحافظات Governorates'!$E$2:$E$151,MATCH(D1052,'المحافظات Governorates'!$A$2:$A$151,0)),"")</f>
        <v>Al-Wajh</v>
      </c>
      <c r="I1052" s="18" t="str">
        <f>IFERROR(INDEX('المناطق Regions'!$C$2:$C$15,MATCH(B1052,'المناطق Regions'!$A$2:$A$15,0)),"")</f>
        <v>Tabuk</v>
      </c>
      <c r="J1052" s="18" t="str">
        <f>F1052&amp;", "&amp;E1052&amp;", Saudi Arabia"</f>
        <v>الخرار, الوجه, Saudi Arabia</v>
      </c>
      <c r="K1052" s="18">
        <v>26.209586</v>
      </c>
      <c r="L1052" s="18">
        <v>37.361582</v>
      </c>
      <c r="M1052" s="18">
        <v>2000</v>
      </c>
      <c r="N1052" s="18" t="s">
        <v>562</v>
      </c>
    </row>
    <row r="1053" ht="15" customHeight="1" spans="1:14" x14ac:dyDescent="0.25">
      <c r="A1053" s="13" t="s">
        <v>2667</v>
      </c>
      <c r="B1053" s="13">
        <v>7</v>
      </c>
      <c r="C1053" s="14" t="s">
        <v>70</v>
      </c>
      <c r="D1053" s="13" t="s">
        <v>388</v>
      </c>
      <c r="E1053" s="14" t="s">
        <v>389</v>
      </c>
      <c r="F1053" s="14" t="s">
        <v>2668</v>
      </c>
      <c r="G1053" s="13" t="s">
        <v>113</v>
      </c>
      <c r="H1053" s="18" t="str">
        <f>IFERROR(INDEX('المحافظات Governorates'!$E$2:$E$151,MATCH(D1053,'المحافظات Governorates'!$A$2:$A$151,0)),"")</f>
        <v>Al-Wajh</v>
      </c>
      <c r="I1053" s="18" t="str">
        <f>IFERROR(INDEX('المناطق Regions'!$C$2:$C$15,MATCH(B1053,'المناطق Regions'!$A$2:$A$15,0)),"")</f>
        <v>Tabuk</v>
      </c>
      <c r="J1053" s="18" t="str">
        <f>F1053&amp;", "&amp;E1053&amp;", Saudi Arabia"</f>
        <v>ابو راكه, الوجه, Saudi Arabia</v>
      </c>
      <c r="K1053" s="18">
        <v>27.097708</v>
      </c>
      <c r="L1053" s="18">
        <v>37.190289</v>
      </c>
      <c r="M1053" s="18">
        <v>2000</v>
      </c>
      <c r="N1053" s="18" t="s">
        <v>562</v>
      </c>
    </row>
    <row r="1054" ht="15" customHeight="1" spans="1:14" x14ac:dyDescent="0.25">
      <c r="A1054" s="11" t="s">
        <v>2669</v>
      </c>
      <c r="B1054" s="11">
        <v>7</v>
      </c>
      <c r="C1054" s="12" t="s">
        <v>70</v>
      </c>
      <c r="D1054" s="11" t="s">
        <v>388</v>
      </c>
      <c r="E1054" s="12" t="s">
        <v>389</v>
      </c>
      <c r="F1054" s="12" t="s">
        <v>2670</v>
      </c>
      <c r="G1054" s="11" t="s">
        <v>149</v>
      </c>
      <c r="H1054" s="18" t="str">
        <f>IFERROR(INDEX('المحافظات Governorates'!$E$2:$E$151,MATCH(D1054,'المحافظات Governorates'!$A$2:$A$151,0)),"")</f>
        <v>Al-Wajh</v>
      </c>
      <c r="I1054" s="18" t="str">
        <f>IFERROR(INDEX('المناطق Regions'!$C$2:$C$15,MATCH(B1054,'المناطق Regions'!$A$2:$A$15,0)),"")</f>
        <v>Tabuk</v>
      </c>
      <c r="J1054" s="18" t="str">
        <f>F1054&amp;", "&amp;E1054&amp;", Saudi Arabia"</f>
        <v>النشيفه, الوجه, Saudi Arabia</v>
      </c>
      <c r="K1054" s="18">
        <v>27.021494</v>
      </c>
      <c r="L1054" s="18">
        <v>37.264286</v>
      </c>
      <c r="M1054" s="18">
        <v>2000</v>
      </c>
      <c r="N1054" s="18" t="s">
        <v>562</v>
      </c>
    </row>
    <row r="1055" ht="15" customHeight="1" spans="1:14" x14ac:dyDescent="0.25">
      <c r="A1055" s="13" t="s">
        <v>2671</v>
      </c>
      <c r="B1055" s="13">
        <v>7</v>
      </c>
      <c r="C1055" s="14" t="s">
        <v>70</v>
      </c>
      <c r="D1055" s="13" t="s">
        <v>388</v>
      </c>
      <c r="E1055" s="14" t="s">
        <v>389</v>
      </c>
      <c r="F1055" s="14" t="s">
        <v>2672</v>
      </c>
      <c r="G1055" s="13" t="s">
        <v>149</v>
      </c>
      <c r="H1055" s="18" t="str">
        <f>IFERROR(INDEX('المحافظات Governorates'!$E$2:$E$151,MATCH(D1055,'المحافظات Governorates'!$A$2:$A$151,0)),"")</f>
        <v>Al-Wajh</v>
      </c>
      <c r="I1055" s="18" t="str">
        <f>IFERROR(INDEX('المناطق Regions'!$C$2:$C$15,MATCH(B1055,'المناطق Regions'!$A$2:$A$15,0)),"")</f>
        <v>Tabuk</v>
      </c>
      <c r="J1055" s="18" t="str">
        <f>F1055&amp;", "&amp;E1055&amp;", Saudi Arabia"</f>
        <v>الفارعه, الوجه, Saudi Arabia</v>
      </c>
      <c r="K1055" s="18">
        <v>27.150785</v>
      </c>
      <c r="L1055" s="18">
        <v>37.054778</v>
      </c>
      <c r="M1055" s="18">
        <v>2000</v>
      </c>
      <c r="N1055" s="18" t="s">
        <v>562</v>
      </c>
    </row>
    <row r="1056" ht="15" customHeight="1" spans="1:14" x14ac:dyDescent="0.25">
      <c r="A1056" s="11" t="s">
        <v>2673</v>
      </c>
      <c r="B1056" s="11">
        <v>7</v>
      </c>
      <c r="C1056" s="12" t="s">
        <v>70</v>
      </c>
      <c r="D1056" s="11" t="s">
        <v>388</v>
      </c>
      <c r="E1056" s="12" t="s">
        <v>389</v>
      </c>
      <c r="F1056" s="12" t="s">
        <v>2674</v>
      </c>
      <c r="G1056" s="11" t="s">
        <v>149</v>
      </c>
      <c r="H1056" s="18" t="str">
        <f>IFERROR(INDEX('المحافظات Governorates'!$E$2:$E$151,MATCH(D1056,'المحافظات Governorates'!$A$2:$A$151,0)),"")</f>
        <v>Al-Wajh</v>
      </c>
      <c r="I1056" s="18" t="str">
        <f>IFERROR(INDEX('المناطق Regions'!$C$2:$C$15,MATCH(B1056,'المناطق Regions'!$A$2:$A$15,0)),"")</f>
        <v>Tabuk</v>
      </c>
      <c r="J1056" s="18" t="str">
        <f>F1056&amp;", "&amp;E1056&amp;", Saudi Arabia"</f>
        <v>الجو, الوجه, Saudi Arabia</v>
      </c>
      <c r="K1056" s="18">
        <v>27.295704</v>
      </c>
      <c r="L1056" s="18">
        <v>37.25551</v>
      </c>
      <c r="M1056" s="18">
        <v>2000</v>
      </c>
      <c r="N1056" s="18" t="s">
        <v>562</v>
      </c>
    </row>
    <row r="1057" ht="15" customHeight="1" spans="1:14" x14ac:dyDescent="0.25">
      <c r="A1057" s="13" t="s">
        <v>2675</v>
      </c>
      <c r="B1057" s="13">
        <v>7</v>
      </c>
      <c r="C1057" s="14" t="s">
        <v>70</v>
      </c>
      <c r="D1057" s="13" t="s">
        <v>391</v>
      </c>
      <c r="E1057" s="14" t="s">
        <v>392</v>
      </c>
      <c r="F1057" s="14" t="s">
        <v>2676</v>
      </c>
      <c r="G1057" s="13" t="s">
        <v>113</v>
      </c>
      <c r="H1057" s="18" t="str">
        <f>IFERROR(INDEX('المحافظات Governorates'!$E$2:$E$151,MATCH(D1057,'المحافظات Governorates'!$A$2:$A$151,0)),"")</f>
        <v>Duba</v>
      </c>
      <c r="I1057" s="18" t="str">
        <f>IFERROR(INDEX('المناطق Regions'!$C$2:$C$15,MATCH(B1057,'المناطق Regions'!$A$2:$A$15,0)),"")</f>
        <v>Tabuk</v>
      </c>
      <c r="J1057" s="18" t="str">
        <f>F1057&amp;", "&amp;E1057&amp;", Saudi Arabia"</f>
        <v>الخريبه, ضباء, Saudi Arabia</v>
      </c>
      <c r="K1057" s="18">
        <v>28.067064</v>
      </c>
      <c r="L1057" s="18">
        <v>35.176777</v>
      </c>
      <c r="M1057" s="18">
        <v>2000</v>
      </c>
      <c r="N1057" s="18" t="s">
        <v>562</v>
      </c>
    </row>
    <row r="1058" ht="15" customHeight="1" spans="1:14" x14ac:dyDescent="0.25">
      <c r="A1058" s="11" t="s">
        <v>2677</v>
      </c>
      <c r="B1058" s="11">
        <v>7</v>
      </c>
      <c r="C1058" s="12" t="s">
        <v>70</v>
      </c>
      <c r="D1058" s="11" t="s">
        <v>391</v>
      </c>
      <c r="E1058" s="12" t="s">
        <v>392</v>
      </c>
      <c r="F1058" s="12" t="s">
        <v>2678</v>
      </c>
      <c r="G1058" s="11" t="s">
        <v>113</v>
      </c>
      <c r="H1058" s="18" t="str">
        <f>IFERROR(INDEX('المحافظات Governorates'!$E$2:$E$151,MATCH(D1058,'المحافظات Governorates'!$A$2:$A$151,0)),"")</f>
        <v>Duba</v>
      </c>
      <c r="I1058" s="18" t="str">
        <f>IFERROR(INDEX('المناطق Regions'!$C$2:$C$15,MATCH(B1058,'المناطق Regions'!$A$2:$A$15,0)),"")</f>
        <v>Tabuk</v>
      </c>
      <c r="J1058" s="18" t="str">
        <f>F1058&amp;", "&amp;E1058&amp;", Saudi Arabia"</f>
        <v>شواق, ضباء, Saudi Arabia</v>
      </c>
      <c r="K1058" s="18">
        <v>27.399911</v>
      </c>
      <c r="L1058" s="18">
        <v>36.503241</v>
      </c>
      <c r="M1058" s="18">
        <v>2000</v>
      </c>
      <c r="N1058" s="18" t="s">
        <v>562</v>
      </c>
    </row>
    <row r="1059" ht="15" customHeight="1" spans="1:14" x14ac:dyDescent="0.25">
      <c r="A1059" s="13" t="s">
        <v>2679</v>
      </c>
      <c r="B1059" s="13">
        <v>7</v>
      </c>
      <c r="C1059" s="14" t="s">
        <v>70</v>
      </c>
      <c r="D1059" s="13" t="s">
        <v>391</v>
      </c>
      <c r="E1059" s="14" t="s">
        <v>392</v>
      </c>
      <c r="F1059" s="14" t="s">
        <v>2680</v>
      </c>
      <c r="G1059" s="13" t="s">
        <v>149</v>
      </c>
      <c r="H1059" s="18" t="str">
        <f>IFERROR(INDEX('المحافظات Governorates'!$E$2:$E$151,MATCH(D1059,'المحافظات Governorates'!$A$2:$A$151,0)),"")</f>
        <v>Duba</v>
      </c>
      <c r="I1059" s="18" t="str">
        <f>IFERROR(INDEX('المناطق Regions'!$C$2:$C$15,MATCH(B1059,'المناطق Regions'!$A$2:$A$15,0)),"")</f>
        <v>Tabuk</v>
      </c>
      <c r="J1059" s="18" t="str">
        <f>F1059&amp;", "&amp;E1059&amp;", Saudi Arabia"</f>
        <v>شرماء, ضباء, Saudi Arabia</v>
      </c>
      <c r="K1059" s="18">
        <v>28.030656</v>
      </c>
      <c r="L1059" s="18">
        <v>35.242029</v>
      </c>
      <c r="M1059" s="18">
        <v>2000</v>
      </c>
      <c r="N1059" s="18" t="s">
        <v>562</v>
      </c>
    </row>
    <row r="1060" ht="15" customHeight="1" spans="1:14" x14ac:dyDescent="0.25">
      <c r="A1060" s="11" t="s">
        <v>2681</v>
      </c>
      <c r="B1060" s="11">
        <v>7</v>
      </c>
      <c r="C1060" s="12" t="s">
        <v>70</v>
      </c>
      <c r="D1060" s="11" t="s">
        <v>391</v>
      </c>
      <c r="E1060" s="12" t="s">
        <v>392</v>
      </c>
      <c r="F1060" s="12" t="s">
        <v>2682</v>
      </c>
      <c r="G1060" s="11" t="s">
        <v>149</v>
      </c>
      <c r="H1060" s="18" t="str">
        <f>IFERROR(INDEX('المحافظات Governorates'!$E$2:$E$151,MATCH(D1060,'المحافظات Governorates'!$A$2:$A$151,0)),"")</f>
        <v>Duba</v>
      </c>
      <c r="I1060" s="18" t="str">
        <f>IFERROR(INDEX('المناطق Regions'!$C$2:$C$15,MATCH(B1060,'المناطق Regions'!$A$2:$A$15,0)),"")</f>
        <v>Tabuk</v>
      </c>
      <c r="J1060" s="18" t="str">
        <f>F1060&amp;", "&amp;E1060&amp;", Saudi Arabia"</f>
        <v>صدر, ضباء, Saudi Arabia</v>
      </c>
      <c r="K1060" s="18">
        <v>27.849583</v>
      </c>
      <c r="L1060" s="18">
        <v>35.89845</v>
      </c>
      <c r="M1060" s="18">
        <v>2000</v>
      </c>
      <c r="N1060" s="18" t="s">
        <v>562</v>
      </c>
    </row>
    <row r="1061" ht="15" customHeight="1" spans="1:14" x14ac:dyDescent="0.25">
      <c r="A1061" s="13" t="s">
        <v>2683</v>
      </c>
      <c r="B1061" s="13">
        <v>7</v>
      </c>
      <c r="C1061" s="14" t="s">
        <v>70</v>
      </c>
      <c r="D1061" s="13" t="s">
        <v>391</v>
      </c>
      <c r="E1061" s="14" t="s">
        <v>392</v>
      </c>
      <c r="F1061" s="14" t="s">
        <v>2684</v>
      </c>
      <c r="G1061" s="13" t="s">
        <v>113</v>
      </c>
      <c r="H1061" s="18" t="str">
        <f>IFERROR(INDEX('المحافظات Governorates'!$E$2:$E$151,MATCH(D1061,'المحافظات Governorates'!$A$2:$A$151,0)),"")</f>
        <v>Duba</v>
      </c>
      <c r="I1061" s="18" t="str">
        <f>IFERROR(INDEX('المناطق Regions'!$C$2:$C$15,MATCH(B1061,'المناطق Regions'!$A$2:$A$15,0)),"")</f>
        <v>Tabuk</v>
      </c>
      <c r="J1061" s="18" t="str">
        <f>F1061&amp;", "&amp;E1061&amp;", Saudi Arabia"</f>
        <v>المويلح, ضباء, Saudi Arabia</v>
      </c>
      <c r="K1061" s="18">
        <v>27.693051</v>
      </c>
      <c r="L1061" s="18">
        <v>35.483463</v>
      </c>
      <c r="M1061" s="18">
        <v>2000</v>
      </c>
      <c r="N1061" s="18" t="s">
        <v>562</v>
      </c>
    </row>
    <row r="1062" ht="15" customHeight="1" spans="1:14" x14ac:dyDescent="0.25">
      <c r="A1062" s="11" t="s">
        <v>2685</v>
      </c>
      <c r="B1062" s="11">
        <v>7</v>
      </c>
      <c r="C1062" s="12" t="s">
        <v>70</v>
      </c>
      <c r="D1062" s="11" t="s">
        <v>391</v>
      </c>
      <c r="E1062" s="12" t="s">
        <v>392</v>
      </c>
      <c r="F1062" s="12" t="s">
        <v>2686</v>
      </c>
      <c r="G1062" s="11" t="s">
        <v>149</v>
      </c>
      <c r="H1062" s="18" t="str">
        <f>IFERROR(INDEX('المحافظات Governorates'!$E$2:$E$151,MATCH(D1062,'المحافظات Governorates'!$A$2:$A$151,0)),"")</f>
        <v>Duba</v>
      </c>
      <c r="I1062" s="18" t="str">
        <f>IFERROR(INDEX('المناطق Regions'!$C$2:$C$15,MATCH(B1062,'المناطق Regions'!$A$2:$A$15,0)),"")</f>
        <v>Tabuk</v>
      </c>
      <c r="J1062" s="18" t="str">
        <f>F1062&amp;", "&amp;E1062&amp;", Saudi Arabia"</f>
        <v>صر, ضباء, Saudi Arabia</v>
      </c>
      <c r="K1062" s="18">
        <v>27.710926</v>
      </c>
      <c r="L1062" s="18">
        <v>35.674098</v>
      </c>
      <c r="M1062" s="18">
        <v>2000</v>
      </c>
      <c r="N1062" s="18" t="s">
        <v>562</v>
      </c>
    </row>
    <row r="1063" ht="15" customHeight="1" spans="1:14" x14ac:dyDescent="0.25">
      <c r="A1063" s="13" t="s">
        <v>2687</v>
      </c>
      <c r="B1063" s="13">
        <v>7</v>
      </c>
      <c r="C1063" s="14" t="s">
        <v>70</v>
      </c>
      <c r="D1063" s="13" t="s">
        <v>391</v>
      </c>
      <c r="E1063" s="14" t="s">
        <v>392</v>
      </c>
      <c r="F1063" s="14" t="s">
        <v>2688</v>
      </c>
      <c r="G1063" s="13" t="s">
        <v>113</v>
      </c>
      <c r="H1063" s="18" t="str">
        <f>IFERROR(INDEX('المحافظات Governorates'!$E$2:$E$151,MATCH(D1063,'المحافظات Governorates'!$A$2:$A$151,0)),"")</f>
        <v>Duba</v>
      </c>
      <c r="I1063" s="18" t="str">
        <f>IFERROR(INDEX('المناطق Regions'!$C$2:$C$15,MATCH(B1063,'المناطق Regions'!$A$2:$A$15,0)),"")</f>
        <v>Tabuk</v>
      </c>
      <c r="J1063" s="18" t="str">
        <f>F1063&amp;", "&amp;E1063&amp;", Saudi Arabia"</f>
        <v>الديسه, ضباء, Saudi Arabia</v>
      </c>
      <c r="K1063" s="18">
        <v>27.607654</v>
      </c>
      <c r="L1063" s="18">
        <v>36.428171</v>
      </c>
      <c r="M1063" s="18">
        <v>2000</v>
      </c>
      <c r="N1063" s="18" t="s">
        <v>562</v>
      </c>
    </row>
    <row r="1064" ht="15" customHeight="1" spans="1:14" x14ac:dyDescent="0.25">
      <c r="A1064" s="11" t="s">
        <v>2689</v>
      </c>
      <c r="B1064" s="11">
        <v>7</v>
      </c>
      <c r="C1064" s="12" t="s">
        <v>70</v>
      </c>
      <c r="D1064" s="11" t="s">
        <v>391</v>
      </c>
      <c r="E1064" s="12" t="s">
        <v>392</v>
      </c>
      <c r="F1064" s="12" t="s">
        <v>2690</v>
      </c>
      <c r="G1064" s="11" t="s">
        <v>149</v>
      </c>
      <c r="H1064" s="18" t="str">
        <f>IFERROR(INDEX('المحافظات Governorates'!$E$2:$E$151,MATCH(D1064,'المحافظات Governorates'!$A$2:$A$151,0)),"")</f>
        <v>Duba</v>
      </c>
      <c r="I1064" s="18" t="str">
        <f>IFERROR(INDEX('المناطق Regions'!$C$2:$C$15,MATCH(B1064,'المناطق Regions'!$A$2:$A$15,0)),"")</f>
        <v>Tabuk</v>
      </c>
      <c r="J1064" s="18" t="str">
        <f>F1064&amp;", "&amp;E1064&amp;", Saudi Arabia"</f>
        <v>شغب, ضباء, Saudi Arabia</v>
      </c>
      <c r="K1064" s="18">
        <v>27.268373</v>
      </c>
      <c r="L1064" s="18">
        <v>36.457953</v>
      </c>
      <c r="M1064" s="18">
        <v>2000</v>
      </c>
      <c r="N1064" s="18" t="s">
        <v>562</v>
      </c>
    </row>
    <row r="1065" ht="15" customHeight="1" spans="1:14" x14ac:dyDescent="0.25">
      <c r="A1065" s="13" t="s">
        <v>2691</v>
      </c>
      <c r="B1065" s="13">
        <v>7</v>
      </c>
      <c r="C1065" s="14" t="s">
        <v>70</v>
      </c>
      <c r="D1065" s="13" t="s">
        <v>391</v>
      </c>
      <c r="E1065" s="14" t="s">
        <v>392</v>
      </c>
      <c r="F1065" s="14" t="s">
        <v>2692</v>
      </c>
      <c r="G1065" s="13" t="s">
        <v>149</v>
      </c>
      <c r="H1065" s="18" t="str">
        <f>IFERROR(INDEX('المحافظات Governorates'!$E$2:$E$151,MATCH(D1065,'المحافظات Governorates'!$A$2:$A$151,0)),"")</f>
        <v>Duba</v>
      </c>
      <c r="I1065" s="18" t="str">
        <f>IFERROR(INDEX('المناطق Regions'!$C$2:$C$15,MATCH(B1065,'المناطق Regions'!$A$2:$A$15,0)),"")</f>
        <v>Tabuk</v>
      </c>
      <c r="J1065" s="18" t="str">
        <f>F1065&amp;", "&amp;E1065&amp;", Saudi Arabia"</f>
        <v>رأس الخريطة, ضباء, Saudi Arabia</v>
      </c>
      <c r="K1065" s="18">
        <v>27.525353</v>
      </c>
      <c r="L1065" s="18">
        <v>35.993921</v>
      </c>
      <c r="M1065" s="18">
        <v>122711</v>
      </c>
      <c r="N1065" s="18" t="s">
        <v>2693</v>
      </c>
    </row>
    <row r="1066" ht="15" customHeight="1" spans="1:14" x14ac:dyDescent="0.25">
      <c r="A1066" s="11" t="s">
        <v>2694</v>
      </c>
      <c r="B1066" s="11">
        <v>7</v>
      </c>
      <c r="C1066" s="12" t="s">
        <v>70</v>
      </c>
      <c r="D1066" s="11" t="s">
        <v>391</v>
      </c>
      <c r="E1066" s="12" t="s">
        <v>392</v>
      </c>
      <c r="F1066" s="12" t="s">
        <v>2695</v>
      </c>
      <c r="G1066" s="11" t="s">
        <v>149</v>
      </c>
      <c r="H1066" s="18" t="str">
        <f>IFERROR(INDEX('المحافظات Governorates'!$E$2:$E$151,MATCH(D1066,'المحافظات Governorates'!$A$2:$A$151,0)),"")</f>
        <v>Duba</v>
      </c>
      <c r="I1066" s="18" t="str">
        <f>IFERROR(INDEX('المناطق Regions'!$C$2:$C$15,MATCH(B1066,'المناطق Regions'!$A$2:$A$15,0)),"")</f>
        <v>Tabuk</v>
      </c>
      <c r="J1066" s="18" t="str">
        <f>F1066&amp;", "&amp;E1066&amp;", Saudi Arabia"</f>
        <v>العمود, ضباء, Saudi Arabia</v>
      </c>
      <c r="K1066" s="18">
        <v>27.249704</v>
      </c>
      <c r="L1066" s="18">
        <v>35.93231</v>
      </c>
      <c r="M1066" s="18">
        <v>2000</v>
      </c>
      <c r="N1066" s="18" t="s">
        <v>562</v>
      </c>
    </row>
    <row r="1067" ht="15" customHeight="1" spans="1:14" x14ac:dyDescent="0.25">
      <c r="A1067" s="13" t="s">
        <v>2696</v>
      </c>
      <c r="B1067" s="13">
        <v>7</v>
      </c>
      <c r="C1067" s="14" t="s">
        <v>70</v>
      </c>
      <c r="D1067" s="13" t="s">
        <v>391</v>
      </c>
      <c r="E1067" s="14" t="s">
        <v>392</v>
      </c>
      <c r="F1067" s="14" t="s">
        <v>2697</v>
      </c>
      <c r="G1067" s="13" t="s">
        <v>149</v>
      </c>
      <c r="H1067" s="18" t="str">
        <f>IFERROR(INDEX('المحافظات Governorates'!$E$2:$E$151,MATCH(D1067,'المحافظات Governorates'!$A$2:$A$151,0)),"")</f>
        <v>Duba</v>
      </c>
      <c r="I1067" s="18" t="str">
        <f>IFERROR(INDEX('المناطق Regions'!$C$2:$C$15,MATCH(B1067,'المناطق Regions'!$A$2:$A$15,0)),"")</f>
        <v>Tabuk</v>
      </c>
      <c r="J1067" s="18" t="str">
        <f>F1067&amp;", "&amp;E1067&amp;", Saudi Arabia"</f>
        <v>نابع داما, ضباء, Saudi Arabia</v>
      </c>
      <c r="K1067" s="18">
        <v>27.525353</v>
      </c>
      <c r="L1067" s="18">
        <v>35.993921</v>
      </c>
      <c r="M1067" s="18">
        <v>122711</v>
      </c>
      <c r="N1067" s="18" t="s">
        <v>2693</v>
      </c>
    </row>
    <row r="1068" ht="15" customHeight="1" spans="1:14" x14ac:dyDescent="0.25">
      <c r="A1068" s="11" t="s">
        <v>2698</v>
      </c>
      <c r="B1068" s="11">
        <v>7</v>
      </c>
      <c r="C1068" s="12" t="s">
        <v>70</v>
      </c>
      <c r="D1068" s="11" t="s">
        <v>391</v>
      </c>
      <c r="E1068" s="12" t="s">
        <v>392</v>
      </c>
      <c r="F1068" s="12" t="s">
        <v>2699</v>
      </c>
      <c r="G1068" s="11" t="s">
        <v>149</v>
      </c>
      <c r="H1068" s="18" t="str">
        <f>IFERROR(INDEX('المحافظات Governorates'!$E$2:$E$151,MATCH(D1068,'المحافظات Governorates'!$A$2:$A$151,0)),"")</f>
        <v>Duba</v>
      </c>
      <c r="I1068" s="18" t="str">
        <f>IFERROR(INDEX('المناطق Regions'!$C$2:$C$15,MATCH(B1068,'المناطق Regions'!$A$2:$A$15,0)),"")</f>
        <v>Tabuk</v>
      </c>
      <c r="J1068" s="18" t="str">
        <f>F1068&amp;", "&amp;E1068&amp;", Saudi Arabia"</f>
        <v>بئر فحيمان, ضباء, Saudi Arabia</v>
      </c>
      <c r="K1068" s="18">
        <v>28.138539</v>
      </c>
      <c r="L1068" s="18">
        <v>35.379047</v>
      </c>
      <c r="M1068" s="18">
        <v>2000</v>
      </c>
      <c r="N1068" s="18" t="s">
        <v>562</v>
      </c>
    </row>
    <row r="1069" ht="15" customHeight="1" spans="1:14" x14ac:dyDescent="0.25">
      <c r="A1069" s="13" t="s">
        <v>2700</v>
      </c>
      <c r="B1069" s="13">
        <v>7</v>
      </c>
      <c r="C1069" s="14" t="s">
        <v>70</v>
      </c>
      <c r="D1069" s="13" t="s">
        <v>391</v>
      </c>
      <c r="E1069" s="14" t="s">
        <v>392</v>
      </c>
      <c r="F1069" s="14" t="s">
        <v>2701</v>
      </c>
      <c r="G1069" s="13" t="s">
        <v>149</v>
      </c>
      <c r="H1069" s="18" t="str">
        <f>IFERROR(INDEX('المحافظات Governorates'!$E$2:$E$151,MATCH(D1069,'المحافظات Governorates'!$A$2:$A$151,0)),"")</f>
        <v>Duba</v>
      </c>
      <c r="I1069" s="18" t="str">
        <f>IFERROR(INDEX('المناطق Regions'!$C$2:$C$15,MATCH(B1069,'المناطق Regions'!$A$2:$A$15,0)),"")</f>
        <v>Tabuk</v>
      </c>
      <c r="J1069" s="18" t="str">
        <f>F1069&amp;", "&amp;E1069&amp;", Saudi Arabia"</f>
        <v>الصوره, ضباء, Saudi Arabia</v>
      </c>
      <c r="K1069" s="18">
        <v>27.864418</v>
      </c>
      <c r="L1069" s="18">
        <v>35.344812</v>
      </c>
      <c r="M1069" s="18">
        <v>2000</v>
      </c>
      <c r="N1069" s="18" t="s">
        <v>562</v>
      </c>
    </row>
    <row r="1070" ht="15" customHeight="1" spans="1:14" x14ac:dyDescent="0.25">
      <c r="A1070" s="11" t="s">
        <v>2702</v>
      </c>
      <c r="B1070" s="11">
        <v>7</v>
      </c>
      <c r="C1070" s="12" t="s">
        <v>70</v>
      </c>
      <c r="D1070" s="11" t="s">
        <v>391</v>
      </c>
      <c r="E1070" s="12" t="s">
        <v>392</v>
      </c>
      <c r="F1070" s="12" t="s">
        <v>2703</v>
      </c>
      <c r="G1070" s="11" t="s">
        <v>149</v>
      </c>
      <c r="H1070" s="18" t="str">
        <f>IFERROR(INDEX('المحافظات Governorates'!$E$2:$E$151,MATCH(D1070,'المحافظات Governorates'!$A$2:$A$151,0)),"")</f>
        <v>Duba</v>
      </c>
      <c r="I1070" s="18" t="str">
        <f>IFERROR(INDEX('المناطق Regions'!$C$2:$C$15,MATCH(B1070,'المناطق Regions'!$A$2:$A$15,0)),"")</f>
        <v>Tabuk</v>
      </c>
      <c r="J1070" s="18" t="str">
        <f>F1070&amp;", "&amp;E1070&amp;", Saudi Arabia"</f>
        <v>ابو سلمه, ضباء, Saudi Arabia</v>
      </c>
      <c r="K1070" s="18">
        <v>27.525353</v>
      </c>
      <c r="L1070" s="18">
        <v>35.993921</v>
      </c>
      <c r="M1070" s="18">
        <v>122711</v>
      </c>
      <c r="N1070" s="18" t="s">
        <v>2693</v>
      </c>
    </row>
    <row r="1071" ht="15" customHeight="1" spans="1:14" x14ac:dyDescent="0.25">
      <c r="A1071" s="13" t="s">
        <v>2704</v>
      </c>
      <c r="B1071" s="13">
        <v>7</v>
      </c>
      <c r="C1071" s="14" t="s">
        <v>70</v>
      </c>
      <c r="D1071" s="13" t="s">
        <v>391</v>
      </c>
      <c r="E1071" s="14" t="s">
        <v>392</v>
      </c>
      <c r="F1071" s="14" t="s">
        <v>2705</v>
      </c>
      <c r="G1071" s="13" t="s">
        <v>149</v>
      </c>
      <c r="H1071" s="18" t="str">
        <f>IFERROR(INDEX('المحافظات Governorates'!$E$2:$E$151,MATCH(D1071,'المحافظات Governorates'!$A$2:$A$151,0)),"")</f>
        <v>Duba</v>
      </c>
      <c r="I1071" s="18" t="str">
        <f>IFERROR(INDEX('المناطق Regions'!$C$2:$C$15,MATCH(B1071,'المناطق Regions'!$A$2:$A$15,0)),"")</f>
        <v>Tabuk</v>
      </c>
      <c r="J1071" s="18" t="str">
        <f>F1071&amp;", "&amp;E1071&amp;", Saudi Arabia"</f>
        <v>روى, ضباء, Saudi Arabia</v>
      </c>
      <c r="K1071" s="18">
        <v>28.235833</v>
      </c>
      <c r="L1071" s="18">
        <v>35.356111</v>
      </c>
      <c r="M1071" s="18">
        <v>2000</v>
      </c>
      <c r="N1071" s="18" t="s">
        <v>562</v>
      </c>
    </row>
    <row r="1072" ht="15" customHeight="1" spans="1:14" x14ac:dyDescent="0.25">
      <c r="A1072" s="11" t="s">
        <v>2706</v>
      </c>
      <c r="B1072" s="11">
        <v>7</v>
      </c>
      <c r="C1072" s="12" t="s">
        <v>70</v>
      </c>
      <c r="D1072" s="11" t="s">
        <v>394</v>
      </c>
      <c r="E1072" s="12" t="s">
        <v>395</v>
      </c>
      <c r="F1072" s="12" t="s">
        <v>2707</v>
      </c>
      <c r="G1072" s="11" t="s">
        <v>113</v>
      </c>
      <c r="H1072" s="18" t="str">
        <f>IFERROR(INDEX('المحافظات Governorates'!$E$2:$E$151,MATCH(D1072,'المحافظات Governorates'!$A$2:$A$151,0)),"")</f>
        <v>Tayma</v>
      </c>
      <c r="I1072" s="18" t="str">
        <f>IFERROR(INDEX('المناطق Regions'!$C$2:$C$15,MATCH(B1072,'المناطق Regions'!$A$2:$A$15,0)),"")</f>
        <v>Tabuk</v>
      </c>
      <c r="J1072" s="18" t="str">
        <f>F1072&amp;", "&amp;E1072&amp;", Saudi Arabia"</f>
        <v>الجهراء, تيماء, Saudi Arabia</v>
      </c>
      <c r="K1072" s="18">
        <v>26.866923</v>
      </c>
      <c r="L1072" s="18">
        <v>38.883748</v>
      </c>
      <c r="M1072" s="18">
        <v>2000</v>
      </c>
      <c r="N1072" s="18" t="s">
        <v>562</v>
      </c>
    </row>
    <row r="1073" ht="15" customHeight="1" spans="1:14" x14ac:dyDescent="0.25">
      <c r="A1073" s="13" t="s">
        <v>2708</v>
      </c>
      <c r="B1073" s="13">
        <v>7</v>
      </c>
      <c r="C1073" s="14" t="s">
        <v>70</v>
      </c>
      <c r="D1073" s="13" t="s">
        <v>394</v>
      </c>
      <c r="E1073" s="14" t="s">
        <v>395</v>
      </c>
      <c r="F1073" s="14" t="s">
        <v>2709</v>
      </c>
      <c r="G1073" s="13" t="s">
        <v>149</v>
      </c>
      <c r="H1073" s="18" t="str">
        <f>IFERROR(INDEX('المحافظات Governorates'!$E$2:$E$151,MATCH(D1073,'المحافظات Governorates'!$A$2:$A$151,0)),"")</f>
        <v>Tayma</v>
      </c>
      <c r="I1073" s="18" t="str">
        <f>IFERROR(INDEX('المناطق Regions'!$C$2:$C$15,MATCH(B1073,'المناطق Regions'!$A$2:$A$15,0)),"")</f>
        <v>Tabuk</v>
      </c>
      <c r="J1073" s="18" t="str">
        <f>F1073&amp;", "&amp;E1073&amp;", Saudi Arabia"</f>
        <v>الكتيب, تيماء, Saudi Arabia</v>
      </c>
      <c r="K1073" s="18">
        <v>27.466091</v>
      </c>
      <c r="L1073" s="18">
        <v>38.896894</v>
      </c>
      <c r="M1073" s="18">
        <v>2000</v>
      </c>
      <c r="N1073" s="18" t="s">
        <v>562</v>
      </c>
    </row>
    <row r="1074" ht="15" customHeight="1" spans="1:14" x14ac:dyDescent="0.25">
      <c r="A1074" s="11" t="s">
        <v>2710</v>
      </c>
      <c r="B1074" s="11">
        <v>7</v>
      </c>
      <c r="C1074" s="12" t="s">
        <v>70</v>
      </c>
      <c r="D1074" s="11" t="s">
        <v>394</v>
      </c>
      <c r="E1074" s="12" t="s">
        <v>395</v>
      </c>
      <c r="F1074" s="12" t="s">
        <v>2354</v>
      </c>
      <c r="G1074" s="11" t="s">
        <v>149</v>
      </c>
      <c r="H1074" s="18" t="str">
        <f>IFERROR(INDEX('المحافظات Governorates'!$E$2:$E$151,MATCH(D1074,'المحافظات Governorates'!$A$2:$A$151,0)),"")</f>
        <v>Tayma</v>
      </c>
      <c r="I1074" s="18" t="str">
        <f>IFERROR(INDEX('المناطق Regions'!$C$2:$C$15,MATCH(B1074,'المناطق Regions'!$A$2:$A$15,0)),"")</f>
        <v>Tabuk</v>
      </c>
      <c r="J1074" s="18" t="str">
        <f>F1074&amp;", "&amp;E1074&amp;", Saudi Arabia"</f>
        <v>عرده, تيماء, Saudi Arabia</v>
      </c>
      <c r="K1074" s="18">
        <v>27.002572</v>
      </c>
      <c r="L1074" s="18">
        <v>38.494874</v>
      </c>
      <c r="M1074" s="18">
        <v>2000</v>
      </c>
      <c r="N1074" s="18" t="s">
        <v>562</v>
      </c>
    </row>
    <row r="1075" ht="15" customHeight="1" spans="1:14" x14ac:dyDescent="0.25">
      <c r="A1075" s="13" t="s">
        <v>2711</v>
      </c>
      <c r="B1075" s="13">
        <v>7</v>
      </c>
      <c r="C1075" s="14" t="s">
        <v>70</v>
      </c>
      <c r="D1075" s="13" t="s">
        <v>394</v>
      </c>
      <c r="E1075" s="14" t="s">
        <v>395</v>
      </c>
      <c r="F1075" s="14" t="s">
        <v>2712</v>
      </c>
      <c r="G1075" s="13" t="s">
        <v>149</v>
      </c>
      <c r="H1075" s="18" t="str">
        <f>IFERROR(INDEX('المحافظات Governorates'!$E$2:$E$151,MATCH(D1075,'المحافظات Governorates'!$A$2:$A$151,0)),"")</f>
        <v>Tayma</v>
      </c>
      <c r="I1075" s="18" t="str">
        <f>IFERROR(INDEX('المناطق Regions'!$C$2:$C$15,MATCH(B1075,'المناطق Regions'!$A$2:$A$15,0)),"")</f>
        <v>Tabuk</v>
      </c>
      <c r="J1075" s="18" t="str">
        <f>F1075&amp;", "&amp;E1075&amp;", Saudi Arabia"</f>
        <v>الجبعاوية, تيماء, Saudi Arabia</v>
      </c>
      <c r="K1075" s="18">
        <v>27.616739</v>
      </c>
      <c r="L1075" s="18">
        <v>38.85881</v>
      </c>
      <c r="M1075" s="18">
        <v>165371</v>
      </c>
      <c r="N1075" s="18" t="s">
        <v>2641</v>
      </c>
    </row>
    <row r="1076" ht="15" customHeight="1" spans="1:14" x14ac:dyDescent="0.25">
      <c r="A1076" s="11" t="s">
        <v>2713</v>
      </c>
      <c r="B1076" s="11">
        <v>7</v>
      </c>
      <c r="C1076" s="12" t="s">
        <v>70</v>
      </c>
      <c r="D1076" s="11" t="s">
        <v>394</v>
      </c>
      <c r="E1076" s="12" t="s">
        <v>395</v>
      </c>
      <c r="F1076" s="12" t="s">
        <v>2714</v>
      </c>
      <c r="G1076" s="11" t="s">
        <v>149</v>
      </c>
      <c r="H1076" s="18" t="str">
        <f>IFERROR(INDEX('المحافظات Governorates'!$E$2:$E$151,MATCH(D1076,'المحافظات Governorates'!$A$2:$A$151,0)),"")</f>
        <v>Tayma</v>
      </c>
      <c r="I1076" s="18" t="str">
        <f>IFERROR(INDEX('المناطق Regions'!$C$2:$C$15,MATCH(B1076,'المناطق Regions'!$A$2:$A$15,0)),"")</f>
        <v>Tabuk</v>
      </c>
      <c r="J1076" s="18" t="str">
        <f>F1076&amp;", "&amp;E1076&amp;", Saudi Arabia"</f>
        <v>ابيط, تيماء, Saudi Arabia</v>
      </c>
      <c r="K1076" s="18">
        <v>28.04693</v>
      </c>
      <c r="L1076" s="18">
        <v>39.108244</v>
      </c>
      <c r="M1076" s="18">
        <v>2000</v>
      </c>
      <c r="N1076" s="18" t="s">
        <v>562</v>
      </c>
    </row>
    <row r="1077" ht="15" customHeight="1" spans="1:14" x14ac:dyDescent="0.25">
      <c r="A1077" s="13" t="s">
        <v>2715</v>
      </c>
      <c r="B1077" s="13">
        <v>7</v>
      </c>
      <c r="C1077" s="14" t="s">
        <v>70</v>
      </c>
      <c r="D1077" s="13" t="s">
        <v>394</v>
      </c>
      <c r="E1077" s="14" t="s">
        <v>395</v>
      </c>
      <c r="F1077" s="14" t="s">
        <v>2716</v>
      </c>
      <c r="G1077" s="13" t="s">
        <v>113</v>
      </c>
      <c r="H1077" s="18" t="str">
        <f>IFERROR(INDEX('المحافظات Governorates'!$E$2:$E$151,MATCH(D1077,'المحافظات Governorates'!$A$2:$A$151,0)),"")</f>
        <v>Tayma</v>
      </c>
      <c r="I1077" s="18" t="str">
        <f>IFERROR(INDEX('المناطق Regions'!$C$2:$C$15,MATCH(B1077,'المناطق Regions'!$A$2:$A$15,0)),"")</f>
        <v>Tabuk</v>
      </c>
      <c r="J1077" s="18" t="str">
        <f>F1077&amp;", "&amp;E1077&amp;", Saudi Arabia"</f>
        <v>العسافيه, تيماء, Saudi Arabia</v>
      </c>
      <c r="K1077" s="18">
        <v>28.264788</v>
      </c>
      <c r="L1077" s="18">
        <v>38.982104</v>
      </c>
      <c r="M1077" s="18">
        <v>2000</v>
      </c>
      <c r="N1077" s="18" t="s">
        <v>562</v>
      </c>
    </row>
    <row r="1078" ht="15" customHeight="1" spans="1:14" x14ac:dyDescent="0.25">
      <c r="A1078" s="11" t="s">
        <v>2717</v>
      </c>
      <c r="B1078" s="11">
        <v>7</v>
      </c>
      <c r="C1078" s="12" t="s">
        <v>70</v>
      </c>
      <c r="D1078" s="11" t="s">
        <v>394</v>
      </c>
      <c r="E1078" s="12" t="s">
        <v>395</v>
      </c>
      <c r="F1078" s="12" t="s">
        <v>2718</v>
      </c>
      <c r="G1078" s="11" t="s">
        <v>149</v>
      </c>
      <c r="H1078" s="18" t="str">
        <f>IFERROR(INDEX('المحافظات Governorates'!$E$2:$E$151,MATCH(D1078,'المحافظات Governorates'!$A$2:$A$151,0)),"")</f>
        <v>Tayma</v>
      </c>
      <c r="I1078" s="18" t="str">
        <f>IFERROR(INDEX('المناطق Regions'!$C$2:$C$15,MATCH(B1078,'المناطق Regions'!$A$2:$A$15,0)),"")</f>
        <v>Tabuk</v>
      </c>
      <c r="J1078" s="18" t="str">
        <f>F1078&amp;", "&amp;E1078&amp;", Saudi Arabia"</f>
        <v>مديسيس, تيماء, Saudi Arabia</v>
      </c>
      <c r="K1078" s="18">
        <v>27.616739</v>
      </c>
      <c r="L1078" s="18">
        <v>38.85881</v>
      </c>
      <c r="M1078" s="18">
        <v>165371</v>
      </c>
      <c r="N1078" s="18" t="s">
        <v>2641</v>
      </c>
    </row>
    <row r="1079" ht="15" customHeight="1" spans="1:14" x14ac:dyDescent="0.25">
      <c r="A1079" s="13" t="s">
        <v>2719</v>
      </c>
      <c r="B1079" s="13">
        <v>7</v>
      </c>
      <c r="C1079" s="14" t="s">
        <v>70</v>
      </c>
      <c r="D1079" s="13" t="s">
        <v>394</v>
      </c>
      <c r="E1079" s="14" t="s">
        <v>395</v>
      </c>
      <c r="F1079" s="14" t="s">
        <v>2720</v>
      </c>
      <c r="G1079" s="13" t="s">
        <v>149</v>
      </c>
      <c r="H1079" s="18" t="str">
        <f>IFERROR(INDEX('المحافظات Governorates'!$E$2:$E$151,MATCH(D1079,'المحافظات Governorates'!$A$2:$A$151,0)),"")</f>
        <v>Tayma</v>
      </c>
      <c r="I1079" s="18" t="str">
        <f>IFERROR(INDEX('المناطق Regions'!$C$2:$C$15,MATCH(B1079,'المناطق Regions'!$A$2:$A$15,0)),"")</f>
        <v>Tabuk</v>
      </c>
      <c r="J1079" s="18" t="str">
        <f>F1079&amp;", "&amp;E1079&amp;", Saudi Arabia"</f>
        <v>الجديد, تيماء, Saudi Arabia</v>
      </c>
      <c r="K1079" s="18">
        <v>26.981167</v>
      </c>
      <c r="L1079" s="18">
        <v>38.772488</v>
      </c>
      <c r="M1079" s="18">
        <v>2000</v>
      </c>
      <c r="N1079" s="18" t="s">
        <v>562</v>
      </c>
    </row>
    <row r="1080" ht="15" customHeight="1" spans="1:14" x14ac:dyDescent="0.25">
      <c r="A1080" s="11" t="s">
        <v>2721</v>
      </c>
      <c r="B1080" s="11">
        <v>7</v>
      </c>
      <c r="C1080" s="12" t="s">
        <v>70</v>
      </c>
      <c r="D1080" s="11" t="s">
        <v>394</v>
      </c>
      <c r="E1080" s="12" t="s">
        <v>395</v>
      </c>
      <c r="F1080" s="12" t="s">
        <v>600</v>
      </c>
      <c r="G1080" s="11" t="s">
        <v>149</v>
      </c>
      <c r="H1080" s="18" t="str">
        <f>IFERROR(INDEX('المحافظات Governorates'!$E$2:$E$151,MATCH(D1080,'المحافظات Governorates'!$A$2:$A$151,0)),"")</f>
        <v>Tayma</v>
      </c>
      <c r="I1080" s="18" t="str">
        <f>IFERROR(INDEX('المناطق Regions'!$C$2:$C$15,MATCH(B1080,'المناطق Regions'!$A$2:$A$15,0)),"")</f>
        <v>Tabuk</v>
      </c>
      <c r="J1080" s="18" t="str">
        <f>F1080&amp;", "&amp;E1080&amp;", Saudi Arabia"</f>
        <v>الحزم, تيماء, Saudi Arabia</v>
      </c>
      <c r="K1080" s="18">
        <v>27.616739</v>
      </c>
      <c r="L1080" s="18">
        <v>38.85881</v>
      </c>
      <c r="M1080" s="18">
        <v>165371</v>
      </c>
      <c r="N1080" s="18" t="s">
        <v>2641</v>
      </c>
    </row>
    <row r="1081" ht="15" customHeight="1" spans="1:14" x14ac:dyDescent="0.25">
      <c r="A1081" s="13" t="s">
        <v>2722</v>
      </c>
      <c r="B1081" s="13">
        <v>7</v>
      </c>
      <c r="C1081" s="14" t="s">
        <v>70</v>
      </c>
      <c r="D1081" s="13" t="s">
        <v>397</v>
      </c>
      <c r="E1081" s="14" t="s">
        <v>398</v>
      </c>
      <c r="F1081" s="14" t="s">
        <v>2723</v>
      </c>
      <c r="G1081" s="13" t="s">
        <v>113</v>
      </c>
      <c r="H1081" s="18" t="str">
        <f>IFERROR(INDEX('المحافظات Governorates'!$E$2:$E$151,MATCH(D1081,'المحافظات Governorates'!$A$2:$A$151,0)),"")</f>
        <v>Umluj</v>
      </c>
      <c r="I1081" s="18" t="str">
        <f>IFERROR(INDEX('المناطق Regions'!$C$2:$C$15,MATCH(B1081,'المناطق Regions'!$A$2:$A$15,0)),"")</f>
        <v>Tabuk</v>
      </c>
      <c r="J1081" s="18" t="str">
        <f>F1081&amp;", "&amp;E1081&amp;", Saudi Arabia"</f>
        <v>الحره الشماليه, املج, Saudi Arabia</v>
      </c>
      <c r="K1081" s="18">
        <v>25.297066</v>
      </c>
      <c r="L1081" s="18">
        <v>37.433</v>
      </c>
      <c r="M1081" s="18">
        <v>108000</v>
      </c>
      <c r="N1081" s="18" t="s">
        <v>2724</v>
      </c>
    </row>
    <row r="1082" ht="15" customHeight="1" spans="1:14" x14ac:dyDescent="0.25">
      <c r="A1082" s="11" t="s">
        <v>2725</v>
      </c>
      <c r="B1082" s="11">
        <v>7</v>
      </c>
      <c r="C1082" s="12" t="s">
        <v>70</v>
      </c>
      <c r="D1082" s="11" t="s">
        <v>397</v>
      </c>
      <c r="E1082" s="12" t="s">
        <v>398</v>
      </c>
      <c r="F1082" s="12" t="s">
        <v>2726</v>
      </c>
      <c r="G1082" s="11" t="s">
        <v>113</v>
      </c>
      <c r="H1082" s="18" t="str">
        <f>IFERROR(INDEX('المحافظات Governorates'!$E$2:$E$151,MATCH(D1082,'المحافظات Governorates'!$A$2:$A$151,0)),"")</f>
        <v>Umluj</v>
      </c>
      <c r="I1082" s="18" t="str">
        <f>IFERROR(INDEX('المناطق Regions'!$C$2:$C$15,MATCH(B1082,'المناطق Regions'!$A$2:$A$15,0)),"")</f>
        <v>Tabuk</v>
      </c>
      <c r="J1082" s="18" t="str">
        <f>F1082&amp;", "&amp;E1082&amp;", Saudi Arabia"</f>
        <v>الشبحه, املج, Saudi Arabia</v>
      </c>
      <c r="K1082" s="18">
        <v>24.80429</v>
      </c>
      <c r="L1082" s="18">
        <v>37.731379</v>
      </c>
      <c r="M1082" s="18">
        <v>2000</v>
      </c>
      <c r="N1082" s="18" t="s">
        <v>562</v>
      </c>
    </row>
    <row r="1083" ht="15" customHeight="1" spans="1:14" x14ac:dyDescent="0.25">
      <c r="A1083" s="13" t="s">
        <v>2727</v>
      </c>
      <c r="B1083" s="13">
        <v>7</v>
      </c>
      <c r="C1083" s="14" t="s">
        <v>70</v>
      </c>
      <c r="D1083" s="13" t="s">
        <v>397</v>
      </c>
      <c r="E1083" s="14" t="s">
        <v>398</v>
      </c>
      <c r="F1083" s="14" t="s">
        <v>2728</v>
      </c>
      <c r="G1083" s="13" t="s">
        <v>149</v>
      </c>
      <c r="H1083" s="18" t="str">
        <f>IFERROR(INDEX('المحافظات Governorates'!$E$2:$E$151,MATCH(D1083,'المحافظات Governorates'!$A$2:$A$151,0)),"")</f>
        <v>Umluj</v>
      </c>
      <c r="I1083" s="18" t="str">
        <f>IFERROR(INDEX('المناطق Regions'!$C$2:$C$15,MATCH(B1083,'المناطق Regions'!$A$2:$A$15,0)),"")</f>
        <v>Tabuk</v>
      </c>
      <c r="J1083" s="18" t="str">
        <f>F1083&amp;", "&amp;E1083&amp;", Saudi Arabia"</f>
        <v>الشدخ, املج, Saudi Arabia</v>
      </c>
      <c r="K1083" s="18">
        <v>24.704375</v>
      </c>
      <c r="L1083" s="18">
        <v>37.605004</v>
      </c>
      <c r="M1083" s="18">
        <v>2000</v>
      </c>
      <c r="N1083" s="18" t="s">
        <v>562</v>
      </c>
    </row>
    <row r="1084" ht="15" customHeight="1" spans="1:14" x14ac:dyDescent="0.25">
      <c r="A1084" s="11" t="s">
        <v>2729</v>
      </c>
      <c r="B1084" s="11">
        <v>7</v>
      </c>
      <c r="C1084" s="12" t="s">
        <v>70</v>
      </c>
      <c r="D1084" s="11" t="s">
        <v>397</v>
      </c>
      <c r="E1084" s="12" t="s">
        <v>398</v>
      </c>
      <c r="F1084" s="12" t="s">
        <v>2730</v>
      </c>
      <c r="G1084" s="11" t="s">
        <v>149</v>
      </c>
      <c r="H1084" s="18" t="str">
        <f>IFERROR(INDEX('المحافظات Governorates'!$E$2:$E$151,MATCH(D1084,'المحافظات Governorates'!$A$2:$A$151,0)),"")</f>
        <v>Umluj</v>
      </c>
      <c r="I1084" s="18" t="str">
        <f>IFERROR(INDEX('المناطق Regions'!$C$2:$C$15,MATCH(B1084,'المناطق Regions'!$A$2:$A$15,0)),"")</f>
        <v>Tabuk</v>
      </c>
      <c r="J1084" s="18" t="str">
        <f>F1084&amp;", "&amp;E1084&amp;", Saudi Arabia"</f>
        <v>العنبجه, املج, Saudi Arabia</v>
      </c>
      <c r="K1084" s="18">
        <v>25.297066</v>
      </c>
      <c r="L1084" s="18">
        <v>37.433</v>
      </c>
      <c r="M1084" s="18">
        <v>108000</v>
      </c>
      <c r="N1084" s="18" t="s">
        <v>2724</v>
      </c>
    </row>
    <row r="1085" ht="15" customHeight="1" spans="1:14" x14ac:dyDescent="0.25">
      <c r="A1085" s="13" t="s">
        <v>2731</v>
      </c>
      <c r="B1085" s="13">
        <v>7</v>
      </c>
      <c r="C1085" s="14" t="s">
        <v>70</v>
      </c>
      <c r="D1085" s="13" t="s">
        <v>397</v>
      </c>
      <c r="E1085" s="14" t="s">
        <v>398</v>
      </c>
      <c r="F1085" s="14" t="s">
        <v>2732</v>
      </c>
      <c r="G1085" s="13" t="s">
        <v>149</v>
      </c>
      <c r="H1085" s="18" t="str">
        <f>IFERROR(INDEX('المحافظات Governorates'!$E$2:$E$151,MATCH(D1085,'المحافظات Governorates'!$A$2:$A$151,0)),"")</f>
        <v>Umluj</v>
      </c>
      <c r="I1085" s="18" t="str">
        <f>IFERROR(INDEX('المناطق Regions'!$C$2:$C$15,MATCH(B1085,'المناطق Regions'!$A$2:$A$15,0)),"")</f>
        <v>Tabuk</v>
      </c>
      <c r="J1085" s="18" t="str">
        <f>F1085&amp;", "&amp;E1085&amp;", Saudi Arabia"</f>
        <v>الرويضات, املج, Saudi Arabia</v>
      </c>
      <c r="K1085" s="18">
        <v>25.297066</v>
      </c>
      <c r="L1085" s="18">
        <v>37.433</v>
      </c>
      <c r="M1085" s="18">
        <v>108000</v>
      </c>
      <c r="N1085" s="18" t="s">
        <v>2724</v>
      </c>
    </row>
    <row r="1086" ht="15" customHeight="1" spans="1:14" x14ac:dyDescent="0.25">
      <c r="A1086" s="11" t="s">
        <v>2733</v>
      </c>
      <c r="B1086" s="11">
        <v>7</v>
      </c>
      <c r="C1086" s="12" t="s">
        <v>70</v>
      </c>
      <c r="D1086" s="11" t="s">
        <v>397</v>
      </c>
      <c r="E1086" s="12" t="s">
        <v>398</v>
      </c>
      <c r="F1086" s="12" t="s">
        <v>2734</v>
      </c>
      <c r="G1086" s="11" t="s">
        <v>149</v>
      </c>
      <c r="H1086" s="18" t="str">
        <f>IFERROR(INDEX('المحافظات Governorates'!$E$2:$E$151,MATCH(D1086,'المحافظات Governorates'!$A$2:$A$151,0)),"")</f>
        <v>Umluj</v>
      </c>
      <c r="I1086" s="18" t="str">
        <f>IFERROR(INDEX('المناطق Regions'!$C$2:$C$15,MATCH(B1086,'المناطق Regions'!$A$2:$A$15,0)),"")</f>
        <v>Tabuk</v>
      </c>
      <c r="J1086" s="18" t="str">
        <f>F1086&amp;", "&amp;E1086&amp;", Saudi Arabia"</f>
        <v>مرخ, املج, Saudi Arabia</v>
      </c>
      <c r="K1086" s="18">
        <v>25.296138</v>
      </c>
      <c r="L1086" s="18">
        <v>37.310614</v>
      </c>
      <c r="M1086" s="18">
        <v>2000</v>
      </c>
      <c r="N1086" s="18" t="s">
        <v>562</v>
      </c>
    </row>
    <row r="1087" ht="15" customHeight="1" spans="1:14" x14ac:dyDescent="0.25">
      <c r="A1087" s="13" t="s">
        <v>2735</v>
      </c>
      <c r="B1087" s="13">
        <v>7</v>
      </c>
      <c r="C1087" s="14" t="s">
        <v>70</v>
      </c>
      <c r="D1087" s="13" t="s">
        <v>397</v>
      </c>
      <c r="E1087" s="14" t="s">
        <v>398</v>
      </c>
      <c r="F1087" s="14" t="s">
        <v>2736</v>
      </c>
      <c r="G1087" s="13" t="s">
        <v>149</v>
      </c>
      <c r="H1087" s="18" t="str">
        <f>IFERROR(INDEX('المحافظات Governorates'!$E$2:$E$151,MATCH(D1087,'المحافظات Governorates'!$A$2:$A$151,0)),"")</f>
        <v>Umluj</v>
      </c>
      <c r="I1087" s="18" t="str">
        <f>IFERROR(INDEX('المناطق Regions'!$C$2:$C$15,MATCH(B1087,'المناطق Regions'!$A$2:$A$15,0)),"")</f>
        <v>Tabuk</v>
      </c>
      <c r="J1087" s="18" t="str">
        <f>F1087&amp;", "&amp;E1087&amp;", Saudi Arabia"</f>
        <v>ذرفى, املج, Saudi Arabia</v>
      </c>
      <c r="K1087" s="18">
        <v>25.660074</v>
      </c>
      <c r="L1087" s="18">
        <v>37.231094</v>
      </c>
      <c r="M1087" s="18">
        <v>2000</v>
      </c>
      <c r="N1087" s="18" t="s">
        <v>562</v>
      </c>
    </row>
    <row r="1088" ht="15" customHeight="1" spans="1:14" x14ac:dyDescent="0.25">
      <c r="A1088" s="11" t="s">
        <v>2737</v>
      </c>
      <c r="B1088" s="11">
        <v>7</v>
      </c>
      <c r="C1088" s="12" t="s">
        <v>70</v>
      </c>
      <c r="D1088" s="11" t="s">
        <v>397</v>
      </c>
      <c r="E1088" s="12" t="s">
        <v>398</v>
      </c>
      <c r="F1088" s="12" t="s">
        <v>2738</v>
      </c>
      <c r="G1088" s="11" t="s">
        <v>149</v>
      </c>
      <c r="H1088" s="18" t="str">
        <f>IFERROR(INDEX('المحافظات Governorates'!$E$2:$E$151,MATCH(D1088,'المحافظات Governorates'!$A$2:$A$151,0)),"")</f>
        <v>Umluj</v>
      </c>
      <c r="I1088" s="18" t="str">
        <f>IFERROR(INDEX('المناطق Regions'!$C$2:$C$15,MATCH(B1088,'المناطق Regions'!$A$2:$A$15,0)),"")</f>
        <v>Tabuk</v>
      </c>
      <c r="J1088" s="18" t="str">
        <f>F1088&amp;", "&amp;E1088&amp;", Saudi Arabia"</f>
        <v>حراض, املج, Saudi Arabia</v>
      </c>
      <c r="K1088" s="18">
        <v>25.297066</v>
      </c>
      <c r="L1088" s="18">
        <v>37.433</v>
      </c>
      <c r="M1088" s="18">
        <v>108000</v>
      </c>
      <c r="N1088" s="18" t="s">
        <v>2724</v>
      </c>
    </row>
    <row r="1089" ht="15" customHeight="1" spans="1:14" x14ac:dyDescent="0.25">
      <c r="A1089" s="13" t="s">
        <v>2739</v>
      </c>
      <c r="B1089" s="13">
        <v>7</v>
      </c>
      <c r="C1089" s="14" t="s">
        <v>70</v>
      </c>
      <c r="D1089" s="13" t="s">
        <v>397</v>
      </c>
      <c r="E1089" s="14" t="s">
        <v>398</v>
      </c>
      <c r="F1089" s="14" t="s">
        <v>2740</v>
      </c>
      <c r="G1089" s="13" t="s">
        <v>149</v>
      </c>
      <c r="H1089" s="18" t="str">
        <f>IFERROR(INDEX('المحافظات Governorates'!$E$2:$E$151,MATCH(D1089,'المحافظات Governorates'!$A$2:$A$151,0)),"")</f>
        <v>Umluj</v>
      </c>
      <c r="I1089" s="18" t="str">
        <f>IFERROR(INDEX('المناطق Regions'!$C$2:$C$15,MATCH(B1089,'المناطق Regions'!$A$2:$A$15,0)),"")</f>
        <v>Tabuk</v>
      </c>
      <c r="J1089" s="18" t="str">
        <f>F1089&amp;", "&amp;E1089&amp;", Saudi Arabia"</f>
        <v>الشبعان, املج, Saudi Arabia</v>
      </c>
      <c r="K1089" s="18">
        <v>24.750489</v>
      </c>
      <c r="L1089" s="18">
        <v>37.236169</v>
      </c>
      <c r="M1089" s="18">
        <v>2000</v>
      </c>
      <c r="N1089" s="18" t="s">
        <v>562</v>
      </c>
    </row>
    <row r="1090" ht="15" customHeight="1" spans="1:14" x14ac:dyDescent="0.25">
      <c r="A1090" s="11" t="s">
        <v>2741</v>
      </c>
      <c r="B1090" s="11">
        <v>7</v>
      </c>
      <c r="C1090" s="12" t="s">
        <v>70</v>
      </c>
      <c r="D1090" s="11" t="s">
        <v>397</v>
      </c>
      <c r="E1090" s="12" t="s">
        <v>398</v>
      </c>
      <c r="F1090" s="12" t="s">
        <v>2592</v>
      </c>
      <c r="G1090" s="11" t="s">
        <v>149</v>
      </c>
      <c r="H1090" s="18" t="str">
        <f>IFERROR(INDEX('المحافظات Governorates'!$E$2:$E$151,MATCH(D1090,'المحافظات Governorates'!$A$2:$A$151,0)),"")</f>
        <v>Umluj</v>
      </c>
      <c r="I1090" s="18" t="str">
        <f>IFERROR(INDEX('المناطق Regions'!$C$2:$C$15,MATCH(B1090,'المناطق Regions'!$A$2:$A$15,0)),"")</f>
        <v>Tabuk</v>
      </c>
      <c r="J1090" s="18" t="str">
        <f>F1090&amp;", "&amp;E1090&amp;", Saudi Arabia"</f>
        <v>عمق, املج, Saudi Arabia</v>
      </c>
      <c r="K1090" s="18">
        <v>25.457767</v>
      </c>
      <c r="L1090" s="18">
        <v>37.338517</v>
      </c>
      <c r="M1090" s="18">
        <v>2000</v>
      </c>
      <c r="N1090" s="18" t="s">
        <v>562</v>
      </c>
    </row>
    <row r="1091" ht="15" customHeight="1" spans="1:14" x14ac:dyDescent="0.25">
      <c r="A1091" s="13" t="s">
        <v>2742</v>
      </c>
      <c r="B1091" s="13">
        <v>7</v>
      </c>
      <c r="C1091" s="14" t="s">
        <v>70</v>
      </c>
      <c r="D1091" s="13" t="s">
        <v>397</v>
      </c>
      <c r="E1091" s="14" t="s">
        <v>398</v>
      </c>
      <c r="F1091" s="14" t="s">
        <v>2743</v>
      </c>
      <c r="G1091" s="13" t="s">
        <v>149</v>
      </c>
      <c r="H1091" s="18" t="str">
        <f>IFERROR(INDEX('المحافظات Governorates'!$E$2:$E$151,MATCH(D1091,'المحافظات Governorates'!$A$2:$A$151,0)),"")</f>
        <v>Umluj</v>
      </c>
      <c r="I1091" s="18" t="str">
        <f>IFERROR(INDEX('المناطق Regions'!$C$2:$C$15,MATCH(B1091,'المناطق Regions'!$A$2:$A$15,0)),"")</f>
        <v>Tabuk</v>
      </c>
      <c r="J1091" s="18" t="str">
        <f>F1091&amp;", "&amp;E1091&amp;", Saudi Arabia"</f>
        <v>صروم, املج, Saudi Arabia</v>
      </c>
      <c r="K1091" s="18">
        <v>24.82342</v>
      </c>
      <c r="L1091" s="18">
        <v>37.472393</v>
      </c>
      <c r="M1091" s="18">
        <v>2000</v>
      </c>
      <c r="N1091" s="18" t="s">
        <v>562</v>
      </c>
    </row>
    <row r="1092" ht="15" customHeight="1" spans="1:14" x14ac:dyDescent="0.25">
      <c r="A1092" s="11" t="s">
        <v>2744</v>
      </c>
      <c r="B1092" s="11">
        <v>7</v>
      </c>
      <c r="C1092" s="12" t="s">
        <v>70</v>
      </c>
      <c r="D1092" s="11" t="s">
        <v>397</v>
      </c>
      <c r="E1092" s="12" t="s">
        <v>398</v>
      </c>
      <c r="F1092" s="12" t="s">
        <v>2745</v>
      </c>
      <c r="G1092" s="11" t="s">
        <v>149</v>
      </c>
      <c r="H1092" s="18" t="str">
        <f>IFERROR(INDEX('المحافظات Governorates'!$E$2:$E$151,MATCH(D1092,'المحافظات Governorates'!$A$2:$A$151,0)),"")</f>
        <v>Umluj</v>
      </c>
      <c r="I1092" s="18" t="str">
        <f>IFERROR(INDEX('المناطق Regions'!$C$2:$C$15,MATCH(B1092,'المناطق Regions'!$A$2:$A$15,0)),"")</f>
        <v>Tabuk</v>
      </c>
      <c r="J1092" s="18" t="str">
        <f>F1092&amp;", "&amp;E1092&amp;", Saudi Arabia"</f>
        <v>الهجمية, املج, Saudi Arabia</v>
      </c>
      <c r="K1092" s="18">
        <v>25.297066</v>
      </c>
      <c r="L1092" s="18">
        <v>37.433</v>
      </c>
      <c r="M1092" s="18">
        <v>108000</v>
      </c>
      <c r="N1092" s="18" t="s">
        <v>2724</v>
      </c>
    </row>
    <row r="1093" ht="15" customHeight="1" spans="1:14" x14ac:dyDescent="0.25">
      <c r="A1093" s="13" t="s">
        <v>2746</v>
      </c>
      <c r="B1093" s="13">
        <v>7</v>
      </c>
      <c r="C1093" s="14" t="s">
        <v>70</v>
      </c>
      <c r="D1093" s="13" t="s">
        <v>397</v>
      </c>
      <c r="E1093" s="14" t="s">
        <v>398</v>
      </c>
      <c r="F1093" s="14" t="s">
        <v>1271</v>
      </c>
      <c r="G1093" s="13" t="s">
        <v>149</v>
      </c>
      <c r="H1093" s="18" t="str">
        <f>IFERROR(INDEX('المحافظات Governorates'!$E$2:$E$151,MATCH(D1093,'المحافظات Governorates'!$A$2:$A$151,0)),"")</f>
        <v>Umluj</v>
      </c>
      <c r="I1093" s="18" t="str">
        <f>IFERROR(INDEX('المناطق Regions'!$C$2:$C$15,MATCH(B1093,'المناطق Regions'!$A$2:$A$15,0)),"")</f>
        <v>Tabuk</v>
      </c>
      <c r="J1093" s="18" t="str">
        <f>F1093&amp;", "&amp;E1093&amp;", Saudi Arabia"</f>
        <v>الحسي, املج, Saudi Arabia</v>
      </c>
      <c r="K1093" s="18">
        <v>24.648275</v>
      </c>
      <c r="L1093" s="18">
        <v>37.332809</v>
      </c>
      <c r="M1093" s="18">
        <v>2000</v>
      </c>
      <c r="N1093" s="18" t="s">
        <v>562</v>
      </c>
    </row>
    <row r="1094" ht="15" customHeight="1" spans="1:14" x14ac:dyDescent="0.25">
      <c r="A1094" s="11" t="s">
        <v>2747</v>
      </c>
      <c r="B1094" s="11">
        <v>7</v>
      </c>
      <c r="C1094" s="12" t="s">
        <v>70</v>
      </c>
      <c r="D1094" s="11" t="s">
        <v>397</v>
      </c>
      <c r="E1094" s="12" t="s">
        <v>398</v>
      </c>
      <c r="F1094" s="12" t="s">
        <v>2748</v>
      </c>
      <c r="G1094" s="11" t="s">
        <v>149</v>
      </c>
      <c r="H1094" s="18" t="str">
        <f>IFERROR(INDEX('المحافظات Governorates'!$E$2:$E$151,MATCH(D1094,'المحافظات Governorates'!$A$2:$A$151,0)),"")</f>
        <v>Umluj</v>
      </c>
      <c r="I1094" s="18" t="str">
        <f>IFERROR(INDEX('المناطق Regions'!$C$2:$C$15,MATCH(B1094,'المناطق Regions'!$A$2:$A$15,0)),"")</f>
        <v>Tabuk</v>
      </c>
      <c r="J1094" s="18" t="str">
        <f>F1094&amp;", "&amp;E1094&amp;", Saudi Arabia"</f>
        <v>الحائل, املج, Saudi Arabia</v>
      </c>
      <c r="K1094" s="18">
        <v>25.197918</v>
      </c>
      <c r="L1094" s="18">
        <v>37.528904</v>
      </c>
      <c r="M1094" s="18">
        <v>2000</v>
      </c>
      <c r="N1094" s="18" t="s">
        <v>562</v>
      </c>
    </row>
    <row r="1095" ht="15" customHeight="1" spans="1:14" x14ac:dyDescent="0.25">
      <c r="A1095" s="13" t="s">
        <v>2749</v>
      </c>
      <c r="B1095" s="13">
        <v>7</v>
      </c>
      <c r="C1095" s="14" t="s">
        <v>70</v>
      </c>
      <c r="D1095" s="13" t="s">
        <v>397</v>
      </c>
      <c r="E1095" s="14" t="s">
        <v>398</v>
      </c>
      <c r="F1095" s="14" t="s">
        <v>2750</v>
      </c>
      <c r="G1095" s="13" t="s">
        <v>149</v>
      </c>
      <c r="H1095" s="18" t="str">
        <f>IFERROR(INDEX('المحافظات Governorates'!$E$2:$E$151,MATCH(D1095,'المحافظات Governorates'!$A$2:$A$151,0)),"")</f>
        <v>Umluj</v>
      </c>
      <c r="I1095" s="18" t="str">
        <f>IFERROR(INDEX('المناطق Regions'!$C$2:$C$15,MATCH(B1095,'المناطق Regions'!$A$2:$A$15,0)),"")</f>
        <v>Tabuk</v>
      </c>
      <c r="J1095" s="18" t="str">
        <f>F1095&amp;", "&amp;E1095&amp;", Saudi Arabia"</f>
        <v>الشتات, املج, Saudi Arabia</v>
      </c>
      <c r="K1095" s="18">
        <v>25.297066</v>
      </c>
      <c r="L1095" s="18">
        <v>37.433</v>
      </c>
      <c r="M1095" s="18">
        <v>108000</v>
      </c>
      <c r="N1095" s="18" t="s">
        <v>2724</v>
      </c>
    </row>
    <row r="1096" ht="15" customHeight="1" spans="1:14" x14ac:dyDescent="0.25">
      <c r="A1096" s="11" t="s">
        <v>2751</v>
      </c>
      <c r="B1096" s="11">
        <v>7</v>
      </c>
      <c r="C1096" s="12" t="s">
        <v>70</v>
      </c>
      <c r="D1096" s="11" t="s">
        <v>400</v>
      </c>
      <c r="E1096" s="12" t="s">
        <v>401</v>
      </c>
      <c r="F1096" s="12" t="s">
        <v>2752</v>
      </c>
      <c r="G1096" s="11" t="s">
        <v>113</v>
      </c>
      <c r="H1096" s="18" t="str">
        <f>IFERROR(INDEX('المحافظات Governorates'!$E$2:$E$151,MATCH(D1096,'المحافظات Governorates'!$A$2:$A$151,0)),"")</f>
        <v>Haql</v>
      </c>
      <c r="I1096" s="18" t="str">
        <f>IFERROR(INDEX('المناطق Regions'!$C$2:$C$15,MATCH(B1096,'المناطق Regions'!$A$2:$A$15,0)),"")</f>
        <v>Tabuk</v>
      </c>
      <c r="J1096" s="18" t="str">
        <f>F1096&amp;", "&amp;E1096&amp;", Saudi Arabia"</f>
        <v>الدره, حقل, Saudi Arabia</v>
      </c>
      <c r="K1096" s="18">
        <v>29.022397</v>
      </c>
      <c r="L1096" s="18">
        <v>35.360409</v>
      </c>
      <c r="M1096" s="18">
        <v>67165</v>
      </c>
      <c r="N1096" s="18" t="s">
        <v>2753</v>
      </c>
    </row>
    <row r="1097" ht="15" customHeight="1" spans="1:14" x14ac:dyDescent="0.25">
      <c r="A1097" s="13" t="s">
        <v>2754</v>
      </c>
      <c r="B1097" s="13">
        <v>7</v>
      </c>
      <c r="C1097" s="14" t="s">
        <v>70</v>
      </c>
      <c r="D1097" s="13" t="s">
        <v>400</v>
      </c>
      <c r="E1097" s="14" t="s">
        <v>401</v>
      </c>
      <c r="F1097" s="14" t="s">
        <v>2755</v>
      </c>
      <c r="G1097" s="13" t="s">
        <v>149</v>
      </c>
      <c r="H1097" s="18" t="str">
        <f>IFERROR(INDEX('المحافظات Governorates'!$E$2:$E$151,MATCH(D1097,'المحافظات Governorates'!$A$2:$A$151,0)),"")</f>
        <v>Haql</v>
      </c>
      <c r="I1097" s="18" t="str">
        <f>IFERROR(INDEX('المناطق Regions'!$C$2:$C$15,MATCH(B1097,'المناطق Regions'!$A$2:$A$15,0)),"")</f>
        <v>Tabuk</v>
      </c>
      <c r="J1097" s="18" t="str">
        <f>F1097&amp;", "&amp;E1097&amp;", Saudi Arabia"</f>
        <v>ابو الحنشان, حقل, Saudi Arabia</v>
      </c>
      <c r="K1097" s="18">
        <v>29.022397</v>
      </c>
      <c r="L1097" s="18">
        <v>35.360409</v>
      </c>
      <c r="M1097" s="18">
        <v>67165</v>
      </c>
      <c r="N1097" s="18" t="s">
        <v>2753</v>
      </c>
    </row>
    <row r="1098" ht="15" customHeight="1" spans="1:14" x14ac:dyDescent="0.25">
      <c r="A1098" s="11" t="s">
        <v>2756</v>
      </c>
      <c r="B1098" s="11">
        <v>7</v>
      </c>
      <c r="C1098" s="12" t="s">
        <v>70</v>
      </c>
      <c r="D1098" s="11" t="s">
        <v>400</v>
      </c>
      <c r="E1098" s="12" t="s">
        <v>401</v>
      </c>
      <c r="F1098" s="12" t="s">
        <v>2757</v>
      </c>
      <c r="G1098" s="11" t="s">
        <v>149</v>
      </c>
      <c r="H1098" s="18" t="str">
        <f>IFERROR(INDEX('المحافظات Governorates'!$E$2:$E$151,MATCH(D1098,'المحافظات Governorates'!$A$2:$A$151,0)),"")</f>
        <v>Haql</v>
      </c>
      <c r="I1098" s="18" t="str">
        <f>IFERROR(INDEX('المناطق Regions'!$C$2:$C$15,MATCH(B1098,'المناطق Regions'!$A$2:$A$15,0)),"")</f>
        <v>Tabuk</v>
      </c>
      <c r="J1098" s="18" t="str">
        <f>F1098&amp;", "&amp;E1098&amp;", Saudi Arabia"</f>
        <v>علقان, حقل, Saudi Arabia</v>
      </c>
      <c r="K1098" s="18">
        <v>29.150357</v>
      </c>
      <c r="L1098" s="18">
        <v>35.402121</v>
      </c>
      <c r="M1098" s="18">
        <v>2000</v>
      </c>
      <c r="N1098" s="18" t="s">
        <v>642</v>
      </c>
    </row>
    <row r="1099" ht="15" customHeight="1" spans="1:14" x14ac:dyDescent="0.25">
      <c r="A1099" s="13" t="s">
        <v>2758</v>
      </c>
      <c r="B1099" s="13">
        <v>7</v>
      </c>
      <c r="C1099" s="14" t="s">
        <v>70</v>
      </c>
      <c r="D1099" s="13" t="s">
        <v>400</v>
      </c>
      <c r="E1099" s="14" t="s">
        <v>401</v>
      </c>
      <c r="F1099" s="14" t="s">
        <v>2759</v>
      </c>
      <c r="G1099" s="13" t="s">
        <v>149</v>
      </c>
      <c r="H1099" s="18" t="str">
        <f>IFERROR(INDEX('المحافظات Governorates'!$E$2:$E$151,MATCH(D1099,'المحافظات Governorates'!$A$2:$A$151,0)),"")</f>
        <v>Haql</v>
      </c>
      <c r="I1099" s="18" t="str">
        <f>IFERROR(INDEX('المناطق Regions'!$C$2:$C$15,MATCH(B1099,'المناطق Regions'!$A$2:$A$15,0)),"")</f>
        <v>Tabuk</v>
      </c>
      <c r="J1099" s="18" t="str">
        <f>F1099&amp;", "&amp;E1099&amp;", Saudi Arabia"</f>
        <v>الزيته, حقل, Saudi Arabia</v>
      </c>
      <c r="K1099" s="18">
        <v>28.859735</v>
      </c>
      <c r="L1099" s="18">
        <v>35.477148</v>
      </c>
      <c r="M1099" s="18">
        <v>2000</v>
      </c>
      <c r="N1099" s="18" t="s">
        <v>642</v>
      </c>
    </row>
    <row r="1100" ht="15" customHeight="1" spans="1:14" x14ac:dyDescent="0.25">
      <c r="A1100" s="11" t="s">
        <v>2760</v>
      </c>
      <c r="B1100" s="11">
        <v>7</v>
      </c>
      <c r="C1100" s="12" t="s">
        <v>70</v>
      </c>
      <c r="D1100" s="11" t="s">
        <v>400</v>
      </c>
      <c r="E1100" s="12" t="s">
        <v>401</v>
      </c>
      <c r="F1100" s="12" t="s">
        <v>2761</v>
      </c>
      <c r="G1100" s="11" t="s">
        <v>149</v>
      </c>
      <c r="H1100" s="18" t="str">
        <f>IFERROR(INDEX('المحافظات Governorates'!$E$2:$E$151,MATCH(D1100,'المحافظات Governorates'!$A$2:$A$151,0)),"")</f>
        <v>Haql</v>
      </c>
      <c r="I1100" s="18" t="str">
        <f>IFERROR(INDEX('المناطق Regions'!$C$2:$C$15,MATCH(B1100,'المناطق Regions'!$A$2:$A$15,0)),"")</f>
        <v>Tabuk</v>
      </c>
      <c r="J1100" s="18" t="str">
        <f>F1100&amp;", "&amp;E1100&amp;", Saudi Arabia"</f>
        <v>الوادي الجديد, حقل, Saudi Arabia</v>
      </c>
      <c r="K1100" s="18">
        <v>29.129542</v>
      </c>
      <c r="L1100" s="18">
        <v>35.055565</v>
      </c>
      <c r="M1100" s="18">
        <v>2000</v>
      </c>
      <c r="N1100" s="18" t="s">
        <v>642</v>
      </c>
    </row>
    <row r="1101" ht="15" customHeight="1" spans="1:14" x14ac:dyDescent="0.25">
      <c r="A1101" s="13" t="s">
        <v>2762</v>
      </c>
      <c r="B1101" s="13">
        <v>7</v>
      </c>
      <c r="C1101" s="14" t="s">
        <v>70</v>
      </c>
      <c r="D1101" s="13" t="s">
        <v>400</v>
      </c>
      <c r="E1101" s="14" t="s">
        <v>401</v>
      </c>
      <c r="F1101" s="14" t="s">
        <v>2763</v>
      </c>
      <c r="G1101" s="13" t="s">
        <v>149</v>
      </c>
      <c r="H1101" s="18" t="str">
        <f>IFERROR(INDEX('المحافظات Governorates'!$E$2:$E$151,MATCH(D1101,'المحافظات Governorates'!$A$2:$A$151,0)),"")</f>
        <v>Haql</v>
      </c>
      <c r="I1101" s="18" t="str">
        <f>IFERROR(INDEX('المناطق Regions'!$C$2:$C$15,MATCH(B1101,'المناطق Regions'!$A$2:$A$15,0)),"")</f>
        <v>Tabuk</v>
      </c>
      <c r="J1101" s="18" t="str">
        <f>F1101&amp;", "&amp;E1101&amp;", Saudi Arabia"</f>
        <v>علو القصير, حقل, Saudi Arabia</v>
      </c>
      <c r="K1101" s="18">
        <v>29.022397</v>
      </c>
      <c r="L1101" s="18">
        <v>35.360409</v>
      </c>
      <c r="M1101" s="18">
        <v>67165</v>
      </c>
      <c r="N1101" s="18" t="s">
        <v>2753</v>
      </c>
    </row>
    <row r="1102" ht="15" customHeight="1" spans="1:14" x14ac:dyDescent="0.25">
      <c r="A1102" s="11" t="s">
        <v>2764</v>
      </c>
      <c r="B1102" s="11">
        <v>7</v>
      </c>
      <c r="C1102" s="12" t="s">
        <v>70</v>
      </c>
      <c r="D1102" s="11" t="s">
        <v>403</v>
      </c>
      <c r="E1102" s="12" t="s">
        <v>404</v>
      </c>
      <c r="F1102" s="12" t="s">
        <v>2765</v>
      </c>
      <c r="G1102" s="11" t="s">
        <v>149</v>
      </c>
      <c r="H1102" s="18" t="str">
        <f>IFERROR(INDEX('المحافظات Governorates'!$E$2:$E$151,MATCH(D1102,'المحافظات Governorates'!$A$2:$A$151,0)),"")</f>
        <v>Al-Bada'</v>
      </c>
      <c r="I1102" s="18" t="str">
        <f>IFERROR(INDEX('المناطق Regions'!$C$2:$C$15,MATCH(B1102,'المناطق Regions'!$A$2:$A$15,0)),"")</f>
        <v>Tabuk</v>
      </c>
      <c r="J1102" s="18" t="str">
        <f>F1102&amp;", "&amp;E1102&amp;", Saudi Arabia"</f>
        <v>قيال, البدع, Saudi Arabia</v>
      </c>
      <c r="K1102" s="18"/>
      <c r="L1102" s="18"/>
      <c r="M1102" s="18">
        <v>41744</v>
      </c>
      <c r="N1102" s="18" t="s">
        <v>1917</v>
      </c>
    </row>
    <row r="1103" ht="15" customHeight="1" spans="1:14" x14ac:dyDescent="0.25">
      <c r="A1103" s="13" t="s">
        <v>2766</v>
      </c>
      <c r="B1103" s="13">
        <v>7</v>
      </c>
      <c r="C1103" s="14" t="s">
        <v>70</v>
      </c>
      <c r="D1103" s="13" t="s">
        <v>403</v>
      </c>
      <c r="E1103" s="14" t="s">
        <v>404</v>
      </c>
      <c r="F1103" s="14" t="s">
        <v>2767</v>
      </c>
      <c r="G1103" s="13" t="s">
        <v>149</v>
      </c>
      <c r="H1103" s="18" t="str">
        <f>IFERROR(INDEX('المحافظات Governorates'!$E$2:$E$151,MATCH(D1103,'المحافظات Governorates'!$A$2:$A$151,0)),"")</f>
        <v>Al-Bada'</v>
      </c>
      <c r="I1103" s="18" t="str">
        <f>IFERROR(INDEX('المناطق Regions'!$C$2:$C$15,MATCH(B1103,'المناطق Regions'!$A$2:$A$15,0)),"")</f>
        <v>Tabuk</v>
      </c>
      <c r="J1103" s="18" t="str">
        <f>F1103&amp;", "&amp;E1103&amp;", Saudi Arabia"</f>
        <v>ابو رمانه, البدع, Saudi Arabia</v>
      </c>
      <c r="K1103" s="18"/>
      <c r="L1103" s="18"/>
      <c r="M1103" s="18">
        <v>41744</v>
      </c>
      <c r="N1103" s="18" t="s">
        <v>1917</v>
      </c>
    </row>
    <row r="1104" ht="15" customHeight="1" spans="1:14" x14ac:dyDescent="0.25">
      <c r="A1104" s="11" t="s">
        <v>2768</v>
      </c>
      <c r="B1104" s="11">
        <v>7</v>
      </c>
      <c r="C1104" s="12" t="s">
        <v>70</v>
      </c>
      <c r="D1104" s="11" t="s">
        <v>403</v>
      </c>
      <c r="E1104" s="12" t="s">
        <v>404</v>
      </c>
      <c r="F1104" s="12" t="s">
        <v>2769</v>
      </c>
      <c r="G1104" s="11" t="s">
        <v>149</v>
      </c>
      <c r="H1104" s="18" t="str">
        <f>IFERROR(INDEX('المحافظات Governorates'!$E$2:$E$151,MATCH(D1104,'المحافظات Governorates'!$A$2:$A$151,0)),"")</f>
        <v>Al-Bada'</v>
      </c>
      <c r="I1104" s="18" t="str">
        <f>IFERROR(INDEX('المناطق Regions'!$C$2:$C$15,MATCH(B1104,'المناطق Regions'!$A$2:$A$15,0)),"")</f>
        <v>Tabuk</v>
      </c>
      <c r="J1104" s="18" t="str">
        <f>F1104&amp;", "&amp;E1104&amp;", Saudi Arabia"</f>
        <v>العصيليه, البدع, Saudi Arabia</v>
      </c>
      <c r="K1104" s="18"/>
      <c r="L1104" s="18"/>
      <c r="M1104" s="18">
        <v>41744</v>
      </c>
      <c r="N1104" s="18" t="s">
        <v>1917</v>
      </c>
    </row>
    <row r="1105" ht="15" customHeight="1" spans="1:14" x14ac:dyDescent="0.25">
      <c r="A1105" s="13" t="s">
        <v>2770</v>
      </c>
      <c r="B1105" s="13">
        <v>7</v>
      </c>
      <c r="C1105" s="14" t="s">
        <v>70</v>
      </c>
      <c r="D1105" s="13" t="s">
        <v>403</v>
      </c>
      <c r="E1105" s="14" t="s">
        <v>404</v>
      </c>
      <c r="F1105" s="14" t="s">
        <v>2771</v>
      </c>
      <c r="G1105" s="13" t="s">
        <v>113</v>
      </c>
      <c r="H1105" s="18" t="str">
        <f>IFERROR(INDEX('المحافظات Governorates'!$E$2:$E$151,MATCH(D1105,'المحافظات Governorates'!$A$2:$A$151,0)),"")</f>
        <v>Al-Bada'</v>
      </c>
      <c r="I1105" s="18" t="str">
        <f>IFERROR(INDEX('المناطق Regions'!$C$2:$C$15,MATCH(B1105,'المناطق Regions'!$A$2:$A$15,0)),"")</f>
        <v>Tabuk</v>
      </c>
      <c r="J1105" s="18" t="str">
        <f>F1105&amp;", "&amp;E1105&amp;", Saudi Arabia"</f>
        <v>مقنا, البدع, Saudi Arabia</v>
      </c>
      <c r="K1105" s="18">
        <v>28.402421</v>
      </c>
      <c r="L1105" s="18">
        <v>34.744746</v>
      </c>
      <c r="M1105" s="18">
        <v>2000</v>
      </c>
      <c r="N1105" s="18" t="s">
        <v>642</v>
      </c>
    </row>
    <row r="1106" ht="15" customHeight="1" spans="1:14" x14ac:dyDescent="0.25">
      <c r="A1106" s="11" t="s">
        <v>2772</v>
      </c>
      <c r="B1106" s="11">
        <v>8</v>
      </c>
      <c r="C1106" s="12" t="s">
        <v>73</v>
      </c>
      <c r="D1106" s="11" t="s">
        <v>406</v>
      </c>
      <c r="E1106" s="12" t="s">
        <v>73</v>
      </c>
      <c r="F1106" s="12" t="s">
        <v>2773</v>
      </c>
      <c r="G1106" s="11" t="s">
        <v>113</v>
      </c>
      <c r="H1106" s="18" t="str">
        <f>IFERROR(INDEX('المحافظات Governorates'!$E$2:$E$151,MATCH(D1106,'المحافظات Governorates'!$A$2:$A$151,0)),"")</f>
        <v>Hail</v>
      </c>
      <c r="I1106" s="18" t="str">
        <f>IFERROR(INDEX('المناطق Regions'!$C$2:$C$15,MATCH(B1106,'المناطق Regions'!$A$2:$A$15,0)),"")</f>
        <v>Hail</v>
      </c>
      <c r="J1106" s="18" t="str">
        <f>F1106&amp;", "&amp;E1106&amp;", Saudi Arabia"</f>
        <v>جبة, حائل, Saudi Arabia</v>
      </c>
      <c r="K1106" s="18">
        <v>28.016854</v>
      </c>
      <c r="L1106" s="18">
        <v>40.952988</v>
      </c>
      <c r="M1106" s="18">
        <v>2000</v>
      </c>
      <c r="N1106" s="18" t="s">
        <v>562</v>
      </c>
    </row>
    <row r="1107" ht="15" customHeight="1" spans="1:14" x14ac:dyDescent="0.25">
      <c r="A1107" s="13" t="s">
        <v>2774</v>
      </c>
      <c r="B1107" s="13">
        <v>8</v>
      </c>
      <c r="C1107" s="14" t="s">
        <v>73</v>
      </c>
      <c r="D1107" s="13" t="s">
        <v>406</v>
      </c>
      <c r="E1107" s="14" t="s">
        <v>73</v>
      </c>
      <c r="F1107" s="14" t="s">
        <v>2775</v>
      </c>
      <c r="G1107" s="13" t="s">
        <v>113</v>
      </c>
      <c r="H1107" s="18" t="str">
        <f>IFERROR(INDEX('المحافظات Governorates'!$E$2:$E$151,MATCH(D1107,'المحافظات Governorates'!$A$2:$A$151,0)),"")</f>
        <v>Hail</v>
      </c>
      <c r="I1107" s="18" t="str">
        <f>IFERROR(INDEX('المناطق Regions'!$C$2:$C$15,MATCH(B1107,'المناطق Regions'!$A$2:$A$15,0)),"")</f>
        <v>Hail</v>
      </c>
      <c r="J1107" s="18" t="str">
        <f>F1107&amp;", "&amp;E1107&amp;", Saudi Arabia"</f>
        <v>الخطه, حائل, Saudi Arabia</v>
      </c>
      <c r="K1107" s="18">
        <v>28.067222</v>
      </c>
      <c r="L1107" s="18">
        <v>41.108333</v>
      </c>
      <c r="M1107" s="18">
        <v>2000</v>
      </c>
      <c r="N1107" s="18" t="s">
        <v>562</v>
      </c>
    </row>
    <row r="1108" ht="15" customHeight="1" spans="1:14" x14ac:dyDescent="0.25">
      <c r="A1108" s="11" t="s">
        <v>2776</v>
      </c>
      <c r="B1108" s="11">
        <v>8</v>
      </c>
      <c r="C1108" s="12" t="s">
        <v>73</v>
      </c>
      <c r="D1108" s="11" t="s">
        <v>406</v>
      </c>
      <c r="E1108" s="12" t="s">
        <v>73</v>
      </c>
      <c r="F1108" s="12" t="s">
        <v>2777</v>
      </c>
      <c r="G1108" s="11" t="s">
        <v>113</v>
      </c>
      <c r="H1108" s="18" t="str">
        <f>IFERROR(INDEX('المحافظات Governorates'!$E$2:$E$151,MATCH(D1108,'المحافظات Governorates'!$A$2:$A$151,0)),"")</f>
        <v>Hail</v>
      </c>
      <c r="I1108" s="18" t="str">
        <f>IFERROR(INDEX('المناطق Regions'!$C$2:$C$15,MATCH(B1108,'المناطق Regions'!$A$2:$A$15,0)),"")</f>
        <v>Hail</v>
      </c>
      <c r="J1108" s="18" t="str">
        <f>F1108&amp;", "&amp;E1108&amp;", Saudi Arabia"</f>
        <v>قناء, حائل, Saudi Arabia</v>
      </c>
      <c r="K1108" s="18">
        <v>27.777224</v>
      </c>
      <c r="L1108" s="18">
        <v>41.423634</v>
      </c>
      <c r="M1108" s="18">
        <v>2000</v>
      </c>
      <c r="N1108" s="18" t="s">
        <v>562</v>
      </c>
    </row>
    <row r="1109" ht="15" customHeight="1" spans="1:14" x14ac:dyDescent="0.25">
      <c r="A1109" s="13" t="s">
        <v>2778</v>
      </c>
      <c r="B1109" s="13">
        <v>8</v>
      </c>
      <c r="C1109" s="14" t="s">
        <v>73</v>
      </c>
      <c r="D1109" s="13" t="s">
        <v>406</v>
      </c>
      <c r="E1109" s="14" t="s">
        <v>73</v>
      </c>
      <c r="F1109" s="14" t="s">
        <v>2779</v>
      </c>
      <c r="G1109" s="13" t="s">
        <v>113</v>
      </c>
      <c r="H1109" s="18" t="str">
        <f>IFERROR(INDEX('المحافظات Governorates'!$E$2:$E$151,MATCH(D1109,'المحافظات Governorates'!$A$2:$A$151,0)),"")</f>
        <v>Hail</v>
      </c>
      <c r="I1109" s="18" t="str">
        <f>IFERROR(INDEX('المناطق Regions'!$C$2:$C$15,MATCH(B1109,'المناطق Regions'!$A$2:$A$15,0)),"")</f>
        <v>Hail</v>
      </c>
      <c r="J1109" s="18" t="str">
        <f>F1109&amp;", "&amp;E1109&amp;", Saudi Arabia"</f>
        <v>ام القلبان, حائل, Saudi Arabia</v>
      </c>
      <c r="K1109" s="18">
        <v>27.809572</v>
      </c>
      <c r="L1109" s="18">
        <v>41.429272</v>
      </c>
      <c r="M1109" s="18">
        <v>2000</v>
      </c>
      <c r="N1109" s="18" t="s">
        <v>562</v>
      </c>
    </row>
    <row r="1110" ht="15" customHeight="1" spans="1:14" x14ac:dyDescent="0.25">
      <c r="A1110" s="11" t="s">
        <v>2780</v>
      </c>
      <c r="B1110" s="11">
        <v>8</v>
      </c>
      <c r="C1110" s="12" t="s">
        <v>73</v>
      </c>
      <c r="D1110" s="11" t="s">
        <v>406</v>
      </c>
      <c r="E1110" s="12" t="s">
        <v>73</v>
      </c>
      <c r="F1110" s="12" t="s">
        <v>2781</v>
      </c>
      <c r="G1110" s="11" t="s">
        <v>149</v>
      </c>
      <c r="H1110" s="18" t="str">
        <f>IFERROR(INDEX('المحافظات Governorates'!$E$2:$E$151,MATCH(D1110,'المحافظات Governorates'!$A$2:$A$151,0)),"")</f>
        <v>Hail</v>
      </c>
      <c r="I1110" s="18" t="str">
        <f>IFERROR(INDEX('المناطق Regions'!$C$2:$C$15,MATCH(B1110,'المناطق Regions'!$A$2:$A$15,0)),"")</f>
        <v>Hail</v>
      </c>
      <c r="J1110" s="18" t="str">
        <f>F1110&amp;", "&amp;E1110&amp;", Saudi Arabia"</f>
        <v>عقده, حائل, Saudi Arabia</v>
      </c>
      <c r="K1110" s="18">
        <v>27.516466</v>
      </c>
      <c r="L1110" s="18">
        <v>41.601137</v>
      </c>
      <c r="M1110" s="18">
        <v>2000</v>
      </c>
      <c r="N1110" s="18" t="s">
        <v>562</v>
      </c>
    </row>
    <row r="1111" ht="15" customHeight="1" spans="1:14" x14ac:dyDescent="0.25">
      <c r="A1111" s="13" t="s">
        <v>2782</v>
      </c>
      <c r="B1111" s="13">
        <v>8</v>
      </c>
      <c r="C1111" s="14" t="s">
        <v>73</v>
      </c>
      <c r="D1111" s="13" t="s">
        <v>406</v>
      </c>
      <c r="E1111" s="14" t="s">
        <v>73</v>
      </c>
      <c r="F1111" s="14" t="s">
        <v>2783</v>
      </c>
      <c r="G1111" s="13" t="s">
        <v>113</v>
      </c>
      <c r="H1111" s="18" t="str">
        <f>IFERROR(INDEX('المحافظات Governorates'!$E$2:$E$151,MATCH(D1111,'المحافظات Governorates'!$A$2:$A$151,0)),"")</f>
        <v>Hail</v>
      </c>
      <c r="I1111" s="18" t="str">
        <f>IFERROR(INDEX('المناطق Regions'!$C$2:$C$15,MATCH(B1111,'المناطق Regions'!$A$2:$A$15,0)),"")</f>
        <v>Hail</v>
      </c>
      <c r="J1111" s="18" t="str">
        <f>F1111&amp;", "&amp;E1111&amp;", Saudi Arabia"</f>
        <v>قفار, حائل, Saudi Arabia</v>
      </c>
      <c r="K1111" s="18">
        <v>27.415343</v>
      </c>
      <c r="L1111" s="18">
        <v>41.619026</v>
      </c>
      <c r="M1111" s="18">
        <v>2000</v>
      </c>
      <c r="N1111" s="18" t="s">
        <v>562</v>
      </c>
    </row>
    <row r="1112" ht="15" customHeight="1" spans="1:14" x14ac:dyDescent="0.25">
      <c r="A1112" s="11" t="s">
        <v>2784</v>
      </c>
      <c r="B1112" s="11">
        <v>8</v>
      </c>
      <c r="C1112" s="12" t="s">
        <v>73</v>
      </c>
      <c r="D1112" s="11" t="s">
        <v>406</v>
      </c>
      <c r="E1112" s="12" t="s">
        <v>73</v>
      </c>
      <c r="F1112" s="12" t="s">
        <v>2785</v>
      </c>
      <c r="G1112" s="11" t="s">
        <v>113</v>
      </c>
      <c r="H1112" s="18" t="str">
        <f>IFERROR(INDEX('المحافظات Governorates'!$E$2:$E$151,MATCH(D1112,'المحافظات Governorates'!$A$2:$A$151,0)),"")</f>
        <v>Hail</v>
      </c>
      <c r="I1112" s="18" t="str">
        <f>IFERROR(INDEX('المناطق Regions'!$C$2:$C$15,MATCH(B1112,'المناطق Regions'!$A$2:$A$15,0)),"")</f>
        <v>Hail</v>
      </c>
      <c r="J1112" s="18" t="str">
        <f>F1112&amp;", "&amp;E1112&amp;", Saudi Arabia"</f>
        <v>النيصيه, حائل, Saudi Arabia</v>
      </c>
      <c r="K1112" s="18">
        <v>27.62504</v>
      </c>
      <c r="L1112" s="18">
        <v>41.698678</v>
      </c>
      <c r="M1112" s="18">
        <v>2000</v>
      </c>
      <c r="N1112" s="18" t="s">
        <v>562</v>
      </c>
    </row>
    <row r="1113" ht="15" customHeight="1" spans="1:14" x14ac:dyDescent="0.25">
      <c r="A1113" s="13" t="s">
        <v>2786</v>
      </c>
      <c r="B1113" s="13">
        <v>8</v>
      </c>
      <c r="C1113" s="14" t="s">
        <v>73</v>
      </c>
      <c r="D1113" s="13" t="s">
        <v>406</v>
      </c>
      <c r="E1113" s="14" t="s">
        <v>73</v>
      </c>
      <c r="F1113" s="14" t="s">
        <v>2787</v>
      </c>
      <c r="G1113" s="13" t="s">
        <v>113</v>
      </c>
      <c r="H1113" s="18" t="str">
        <f>IFERROR(INDEX('المحافظات Governorates'!$E$2:$E$151,MATCH(D1113,'المحافظات Governorates'!$A$2:$A$151,0)),"")</f>
        <v>Hail</v>
      </c>
      <c r="I1113" s="18" t="str">
        <f>IFERROR(INDEX('المناطق Regions'!$C$2:$C$15,MATCH(B1113,'المناطق Regions'!$A$2:$A$15,0)),"")</f>
        <v>Hail</v>
      </c>
      <c r="J1113" s="18" t="str">
        <f>F1113&amp;", "&amp;E1113&amp;", Saudi Arabia"</f>
        <v>قصر العشروات, حائل, Saudi Arabia</v>
      </c>
      <c r="K1113" s="18">
        <v>27.331667</v>
      </c>
      <c r="L1113" s="18">
        <v>41.459722</v>
      </c>
      <c r="M1113" s="18">
        <v>2000</v>
      </c>
      <c r="N1113" s="18" t="s">
        <v>562</v>
      </c>
    </row>
    <row r="1114" ht="15" customHeight="1" spans="1:14" x14ac:dyDescent="0.25">
      <c r="A1114" s="11" t="s">
        <v>2788</v>
      </c>
      <c r="B1114" s="11">
        <v>8</v>
      </c>
      <c r="C1114" s="12" t="s">
        <v>73</v>
      </c>
      <c r="D1114" s="11" t="s">
        <v>406</v>
      </c>
      <c r="E1114" s="12" t="s">
        <v>73</v>
      </c>
      <c r="F1114" s="12" t="s">
        <v>2789</v>
      </c>
      <c r="G1114" s="11" t="s">
        <v>113</v>
      </c>
      <c r="H1114" s="18" t="str">
        <f>IFERROR(INDEX('المحافظات Governorates'!$E$2:$E$151,MATCH(D1114,'المحافظات Governorates'!$A$2:$A$151,0)),"")</f>
        <v>Hail</v>
      </c>
      <c r="I1114" s="18" t="str">
        <f>IFERROR(INDEX('المناطق Regions'!$C$2:$C$15,MATCH(B1114,'المناطق Regions'!$A$2:$A$15,0)),"")</f>
        <v>Hail</v>
      </c>
      <c r="J1114" s="18" t="str">
        <f>F1114&amp;", "&amp;E1114&amp;", Saudi Arabia"</f>
        <v>الودى, حائل, Saudi Arabia</v>
      </c>
      <c r="K1114" s="18">
        <v>27.395841</v>
      </c>
      <c r="L1114" s="18">
        <v>41.573186</v>
      </c>
      <c r="M1114" s="18">
        <v>2000</v>
      </c>
      <c r="N1114" s="18" t="s">
        <v>562</v>
      </c>
    </row>
    <row r="1115" ht="15" customHeight="1" spans="1:14" x14ac:dyDescent="0.25">
      <c r="A1115" s="13" t="s">
        <v>2790</v>
      </c>
      <c r="B1115" s="13">
        <v>8</v>
      </c>
      <c r="C1115" s="14" t="s">
        <v>73</v>
      </c>
      <c r="D1115" s="13" t="s">
        <v>406</v>
      </c>
      <c r="E1115" s="14" t="s">
        <v>73</v>
      </c>
      <c r="F1115" s="14" t="s">
        <v>1063</v>
      </c>
      <c r="G1115" s="13" t="s">
        <v>113</v>
      </c>
      <c r="H1115" s="18" t="str">
        <f>IFERROR(INDEX('المحافظات Governorates'!$E$2:$E$151,MATCH(D1115,'المحافظات Governorates'!$A$2:$A$151,0)),"")</f>
        <v>Hail</v>
      </c>
      <c r="I1115" s="18" t="str">
        <f>IFERROR(INDEX('المناطق Regions'!$C$2:$C$15,MATCH(B1115,'المناطق Regions'!$A$2:$A$15,0)),"")</f>
        <v>Hail</v>
      </c>
      <c r="J1115" s="18" t="str">
        <f>F1115&amp;", "&amp;E1115&amp;", Saudi Arabia"</f>
        <v>الروضه, حائل, Saudi Arabia</v>
      </c>
      <c r="K1115" s="18">
        <v>26.798473</v>
      </c>
      <c r="L1115" s="18">
        <v>41.672626</v>
      </c>
      <c r="M1115" s="18">
        <v>2000</v>
      </c>
      <c r="N1115" s="18" t="s">
        <v>562</v>
      </c>
    </row>
    <row r="1116" ht="15" customHeight="1" spans="1:14" x14ac:dyDescent="0.25">
      <c r="A1116" s="11" t="s">
        <v>2791</v>
      </c>
      <c r="B1116" s="11">
        <v>8</v>
      </c>
      <c r="C1116" s="12" t="s">
        <v>73</v>
      </c>
      <c r="D1116" s="11" t="s">
        <v>406</v>
      </c>
      <c r="E1116" s="12" t="s">
        <v>73</v>
      </c>
      <c r="F1116" s="12" t="s">
        <v>2792</v>
      </c>
      <c r="G1116" s="11" t="s">
        <v>113</v>
      </c>
      <c r="H1116" s="18" t="str">
        <f>IFERROR(INDEX('المحافظات Governorates'!$E$2:$E$151,MATCH(D1116,'المحافظات Governorates'!$A$2:$A$151,0)),"")</f>
        <v>Hail</v>
      </c>
      <c r="I1116" s="18" t="str">
        <f>IFERROR(INDEX('المناطق Regions'!$C$2:$C$15,MATCH(B1116,'المناطق Regions'!$A$2:$A$15,0)),"")</f>
        <v>Hail</v>
      </c>
      <c r="J1116" s="18" t="str">
        <f>F1116&amp;", "&amp;E1116&amp;", Saudi Arabia"</f>
        <v>العش, حائل, Saudi Arabia</v>
      </c>
      <c r="K1116" s="18">
        <v>27.083175</v>
      </c>
      <c r="L1116" s="18">
        <v>41.810179</v>
      </c>
      <c r="M1116" s="18">
        <v>2000</v>
      </c>
      <c r="N1116" s="18" t="s">
        <v>562</v>
      </c>
    </row>
    <row r="1117" ht="15" customHeight="1" spans="1:14" x14ac:dyDescent="0.25">
      <c r="A1117" s="13" t="s">
        <v>2793</v>
      </c>
      <c r="B1117" s="13">
        <v>8</v>
      </c>
      <c r="C1117" s="14" t="s">
        <v>73</v>
      </c>
      <c r="D1117" s="13" t="s">
        <v>406</v>
      </c>
      <c r="E1117" s="14" t="s">
        <v>73</v>
      </c>
      <c r="F1117" s="14" t="s">
        <v>2794</v>
      </c>
      <c r="G1117" s="13" t="s">
        <v>113</v>
      </c>
      <c r="H1117" s="18" t="str">
        <f>IFERROR(INDEX('المحافظات Governorates'!$E$2:$E$151,MATCH(D1117,'المحافظات Governorates'!$A$2:$A$151,0)),"")</f>
        <v>Hail</v>
      </c>
      <c r="I1117" s="18" t="str">
        <f>IFERROR(INDEX('المناطق Regions'!$C$2:$C$15,MATCH(B1117,'المناطق Regions'!$A$2:$A$15,0)),"")</f>
        <v>Hail</v>
      </c>
      <c r="J1117" s="18" t="str">
        <f>F1117&amp;", "&amp;E1117&amp;", Saudi Arabia"</f>
        <v>القاعد, حائل, Saudi Arabia</v>
      </c>
      <c r="K1117" s="18">
        <v>27.846003</v>
      </c>
      <c r="L1117" s="18">
        <v>41.724992</v>
      </c>
      <c r="M1117" s="18">
        <v>2000</v>
      </c>
      <c r="N1117" s="18" t="s">
        <v>562</v>
      </c>
    </row>
    <row r="1118" ht="15" customHeight="1" spans="1:14" x14ac:dyDescent="0.25">
      <c r="A1118" s="11" t="s">
        <v>2795</v>
      </c>
      <c r="B1118" s="11">
        <v>8</v>
      </c>
      <c r="C1118" s="12" t="s">
        <v>73</v>
      </c>
      <c r="D1118" s="11" t="s">
        <v>406</v>
      </c>
      <c r="E1118" s="12" t="s">
        <v>73</v>
      </c>
      <c r="F1118" s="12" t="s">
        <v>2796</v>
      </c>
      <c r="G1118" s="11" t="s">
        <v>149</v>
      </c>
      <c r="H1118" s="18" t="str">
        <f>IFERROR(INDEX('المحافظات Governorates'!$E$2:$E$151,MATCH(D1118,'المحافظات Governorates'!$A$2:$A$151,0)),"")</f>
        <v>Hail</v>
      </c>
      <c r="I1118" s="18" t="str">
        <f>IFERROR(INDEX('المناطق Regions'!$C$2:$C$15,MATCH(B1118,'المناطق Regions'!$A$2:$A$15,0)),"")</f>
        <v>Hail</v>
      </c>
      <c r="J1118" s="18" t="str">
        <f>F1118&amp;", "&amp;E1118&amp;", Saudi Arabia"</f>
        <v>الرديفة, حائل, Saudi Arabia</v>
      </c>
      <c r="K1118" s="18">
        <v>28.378122</v>
      </c>
      <c r="L1118" s="18">
        <v>41.28984</v>
      </c>
      <c r="M1118" s="18">
        <v>2000</v>
      </c>
      <c r="N1118" s="18" t="s">
        <v>562</v>
      </c>
    </row>
    <row r="1119" ht="15" customHeight="1" spans="1:14" x14ac:dyDescent="0.25">
      <c r="A1119" s="13" t="s">
        <v>2797</v>
      </c>
      <c r="B1119" s="13">
        <v>8</v>
      </c>
      <c r="C1119" s="14" t="s">
        <v>73</v>
      </c>
      <c r="D1119" s="13" t="s">
        <v>406</v>
      </c>
      <c r="E1119" s="14" t="s">
        <v>73</v>
      </c>
      <c r="F1119" s="14" t="s">
        <v>2798</v>
      </c>
      <c r="G1119" s="13" t="s">
        <v>149</v>
      </c>
      <c r="H1119" s="18" t="str">
        <f>IFERROR(INDEX('المحافظات Governorates'!$E$2:$E$151,MATCH(D1119,'المحافظات Governorates'!$A$2:$A$151,0)),"")</f>
        <v>Hail</v>
      </c>
      <c r="I1119" s="18" t="str">
        <f>IFERROR(INDEX('المناطق Regions'!$C$2:$C$15,MATCH(B1119,'المناطق Regions'!$A$2:$A$15,0)),"")</f>
        <v>Hail</v>
      </c>
      <c r="J1119" s="18" t="str">
        <f>F1119&amp;", "&amp;E1119&amp;", Saudi Arabia"</f>
        <v>التيم, حائل, Saudi Arabia</v>
      </c>
      <c r="K1119" s="18">
        <v>28.057758</v>
      </c>
      <c r="L1119" s="18">
        <v>41.987927</v>
      </c>
      <c r="M1119" s="18">
        <v>2000</v>
      </c>
      <c r="N1119" s="18" t="s">
        <v>562</v>
      </c>
    </row>
    <row r="1120" ht="15" customHeight="1" spans="1:14" x14ac:dyDescent="0.25">
      <c r="A1120" s="11" t="s">
        <v>2799</v>
      </c>
      <c r="B1120" s="11">
        <v>8</v>
      </c>
      <c r="C1120" s="12" t="s">
        <v>73</v>
      </c>
      <c r="D1120" s="11" t="s">
        <v>406</v>
      </c>
      <c r="E1120" s="12" t="s">
        <v>73</v>
      </c>
      <c r="F1120" s="12" t="s">
        <v>2800</v>
      </c>
      <c r="G1120" s="11" t="s">
        <v>149</v>
      </c>
      <c r="H1120" s="18" t="str">
        <f>IFERROR(INDEX('المحافظات Governorates'!$E$2:$E$151,MATCH(D1120,'المحافظات Governorates'!$A$2:$A$151,0)),"")</f>
        <v>Hail</v>
      </c>
      <c r="I1120" s="18" t="str">
        <f>IFERROR(INDEX('المناطق Regions'!$C$2:$C$15,MATCH(B1120,'المناطق Regions'!$A$2:$A$15,0)),"")</f>
        <v>Hail</v>
      </c>
      <c r="J1120" s="18" t="str">
        <f>F1120&amp;", "&amp;E1120&amp;", Saudi Arabia"</f>
        <v>عريجاء, حائل, Saudi Arabia</v>
      </c>
      <c r="K1120" s="18">
        <v>27.450335</v>
      </c>
      <c r="L1120" s="18">
        <v>41.971426</v>
      </c>
      <c r="M1120" s="18">
        <v>2000</v>
      </c>
      <c r="N1120" s="18" t="s">
        <v>562</v>
      </c>
    </row>
    <row r="1121" ht="15" customHeight="1" spans="1:14" x14ac:dyDescent="0.25">
      <c r="A1121" s="13" t="s">
        <v>2801</v>
      </c>
      <c r="B1121" s="13">
        <v>8</v>
      </c>
      <c r="C1121" s="14" t="s">
        <v>73</v>
      </c>
      <c r="D1121" s="13" t="s">
        <v>408</v>
      </c>
      <c r="E1121" s="14" t="s">
        <v>409</v>
      </c>
      <c r="F1121" s="14" t="s">
        <v>2802</v>
      </c>
      <c r="G1121" s="13" t="s">
        <v>113</v>
      </c>
      <c r="H1121" s="18" t="str">
        <f>IFERROR(INDEX('المحافظات Governorates'!$E$2:$E$151,MATCH(D1121,'المحافظات Governorates'!$A$2:$A$151,0)),"")</f>
        <v>Baqaa</v>
      </c>
      <c r="I1121" s="18" t="str">
        <f>IFERROR(INDEX('المناطق Regions'!$C$2:$C$15,MATCH(B1121,'المناطق Regions'!$A$2:$A$15,0)),"")</f>
        <v>Hail</v>
      </c>
      <c r="J1121" s="18" t="str">
        <f>F1121&amp;", "&amp;E1121&amp;", Saudi Arabia"</f>
        <v>تربة, بقعاء, Saudi Arabia</v>
      </c>
      <c r="K1121" s="18">
        <v>28.259575</v>
      </c>
      <c r="L1121" s="18">
        <v>42.92038</v>
      </c>
      <c r="M1121" s="18">
        <v>2000</v>
      </c>
      <c r="N1121" s="18" t="s">
        <v>642</v>
      </c>
    </row>
    <row r="1122" ht="15" customHeight="1" spans="1:14" x14ac:dyDescent="0.25">
      <c r="A1122" s="11" t="s">
        <v>2803</v>
      </c>
      <c r="B1122" s="11">
        <v>8</v>
      </c>
      <c r="C1122" s="12" t="s">
        <v>73</v>
      </c>
      <c r="D1122" s="11" t="s">
        <v>408</v>
      </c>
      <c r="E1122" s="12" t="s">
        <v>409</v>
      </c>
      <c r="F1122" s="12" t="s">
        <v>2804</v>
      </c>
      <c r="G1122" s="11" t="s">
        <v>113</v>
      </c>
      <c r="H1122" s="18" t="str">
        <f>IFERROR(INDEX('المحافظات Governorates'!$E$2:$E$151,MATCH(D1122,'المحافظات Governorates'!$A$2:$A$151,0)),"")</f>
        <v>Baqaa</v>
      </c>
      <c r="I1122" s="18" t="str">
        <f>IFERROR(INDEX('المناطق Regions'!$C$2:$C$15,MATCH(B1122,'المناطق Regions'!$A$2:$A$15,0)),"")</f>
        <v>Hail</v>
      </c>
      <c r="J1122" s="18" t="str">
        <f>F1122&amp;", "&amp;E1122&amp;", Saudi Arabia"</f>
        <v>الزبيره, بقعاء, Saudi Arabia</v>
      </c>
      <c r="K1122" s="18"/>
      <c r="L1122" s="18"/>
      <c r="M1122" s="18">
        <v>77965</v>
      </c>
      <c r="N1122" s="18" t="s">
        <v>2805</v>
      </c>
    </row>
    <row r="1123" ht="15" customHeight="1" spans="1:14" x14ac:dyDescent="0.25">
      <c r="A1123" s="13" t="s">
        <v>2806</v>
      </c>
      <c r="B1123" s="13">
        <v>8</v>
      </c>
      <c r="C1123" s="14" t="s">
        <v>73</v>
      </c>
      <c r="D1123" s="13" t="s">
        <v>408</v>
      </c>
      <c r="E1123" s="14" t="s">
        <v>409</v>
      </c>
      <c r="F1123" s="14" t="s">
        <v>2807</v>
      </c>
      <c r="G1123" s="13" t="s">
        <v>113</v>
      </c>
      <c r="H1123" s="18" t="str">
        <f>IFERROR(INDEX('المحافظات Governorates'!$E$2:$E$151,MATCH(D1123,'المحافظات Governorates'!$A$2:$A$151,0)),"")</f>
        <v>Baqaa</v>
      </c>
      <c r="I1123" s="18" t="str">
        <f>IFERROR(INDEX('المناطق Regions'!$C$2:$C$15,MATCH(B1123,'المناطق Regions'!$A$2:$A$15,0)),"")</f>
        <v>Hail</v>
      </c>
      <c r="J1123" s="18" t="str">
        <f>F1123&amp;", "&amp;E1123&amp;", Saudi Arabia"</f>
        <v>الخوير, بقعاء, Saudi Arabia</v>
      </c>
      <c r="K1123" s="18">
        <v>27.610914</v>
      </c>
      <c r="L1123" s="18">
        <v>43.172308</v>
      </c>
      <c r="M1123" s="18">
        <v>2000</v>
      </c>
      <c r="N1123" s="18" t="s">
        <v>642</v>
      </c>
    </row>
    <row r="1124" ht="15" customHeight="1" spans="1:14" x14ac:dyDescent="0.25">
      <c r="A1124" s="11" t="s">
        <v>2808</v>
      </c>
      <c r="B1124" s="11">
        <v>8</v>
      </c>
      <c r="C1124" s="12" t="s">
        <v>73</v>
      </c>
      <c r="D1124" s="11" t="s">
        <v>408</v>
      </c>
      <c r="E1124" s="12" t="s">
        <v>409</v>
      </c>
      <c r="F1124" s="12" t="s">
        <v>2809</v>
      </c>
      <c r="G1124" s="11" t="s">
        <v>113</v>
      </c>
      <c r="H1124" s="18" t="str">
        <f>IFERROR(INDEX('المحافظات Governorates'!$E$2:$E$151,MATCH(D1124,'المحافظات Governorates'!$A$2:$A$151,0)),"")</f>
        <v>Baqaa</v>
      </c>
      <c r="I1124" s="18" t="str">
        <f>IFERROR(INDEX('المناطق Regions'!$C$2:$C$15,MATCH(B1124,'المناطق Regions'!$A$2:$A$15,0)),"")</f>
        <v>Hail</v>
      </c>
      <c r="J1124" s="18" t="str">
        <f>F1124&amp;", "&amp;E1124&amp;", Saudi Arabia"</f>
        <v>الاجفر, بقعاء, Saudi Arabia</v>
      </c>
      <c r="K1124" s="18">
        <v>27.4725</v>
      </c>
      <c r="L1124" s="18">
        <v>42.998889</v>
      </c>
      <c r="M1124" s="18">
        <v>2000</v>
      </c>
      <c r="N1124" s="18" t="s">
        <v>642</v>
      </c>
    </row>
    <row r="1125" ht="15" customHeight="1" spans="1:14" x14ac:dyDescent="0.25">
      <c r="A1125" s="13" t="s">
        <v>2810</v>
      </c>
      <c r="B1125" s="13">
        <v>8</v>
      </c>
      <c r="C1125" s="14" t="s">
        <v>73</v>
      </c>
      <c r="D1125" s="13" t="s">
        <v>408</v>
      </c>
      <c r="E1125" s="14" t="s">
        <v>409</v>
      </c>
      <c r="F1125" s="14" t="s">
        <v>2811</v>
      </c>
      <c r="G1125" s="13" t="s">
        <v>113</v>
      </c>
      <c r="H1125" s="18" t="str">
        <f>IFERROR(INDEX('المحافظات Governorates'!$E$2:$E$151,MATCH(D1125,'المحافظات Governorates'!$A$2:$A$151,0)),"")</f>
        <v>Baqaa</v>
      </c>
      <c r="I1125" s="18" t="str">
        <f>IFERROR(INDEX('المناطق Regions'!$C$2:$C$15,MATCH(B1125,'المناطق Regions'!$A$2:$A$15,0)),"")</f>
        <v>Hail</v>
      </c>
      <c r="J1125" s="18" t="str">
        <f>F1125&amp;", "&amp;E1125&amp;", Saudi Arabia"</f>
        <v>ضبيعه, بقعاء, Saudi Arabia</v>
      </c>
      <c r="K1125" s="18"/>
      <c r="L1125" s="18"/>
      <c r="M1125" s="18">
        <v>77965</v>
      </c>
      <c r="N1125" s="18" t="s">
        <v>2805</v>
      </c>
    </row>
    <row r="1126" ht="15" customHeight="1" spans="1:14" x14ac:dyDescent="0.25">
      <c r="A1126" s="11" t="s">
        <v>2812</v>
      </c>
      <c r="B1126" s="11">
        <v>8</v>
      </c>
      <c r="C1126" s="12" t="s">
        <v>73</v>
      </c>
      <c r="D1126" s="11" t="s">
        <v>408</v>
      </c>
      <c r="E1126" s="12" t="s">
        <v>409</v>
      </c>
      <c r="F1126" s="12" t="s">
        <v>1136</v>
      </c>
      <c r="G1126" s="11" t="s">
        <v>113</v>
      </c>
      <c r="H1126" s="18" t="str">
        <f>IFERROR(INDEX('المحافظات Governorates'!$E$2:$E$151,MATCH(D1126,'المحافظات Governorates'!$A$2:$A$151,0)),"")</f>
        <v>Baqaa</v>
      </c>
      <c r="I1126" s="18" t="str">
        <f>IFERROR(INDEX('المناطق Regions'!$C$2:$C$15,MATCH(B1126,'المناطق Regions'!$A$2:$A$15,0)),"")</f>
        <v>Hail</v>
      </c>
      <c r="J1126" s="18" t="str">
        <f>F1126&amp;", "&amp;E1126&amp;", Saudi Arabia"</f>
        <v>الحيانيه, بقعاء, Saudi Arabia</v>
      </c>
      <c r="K1126" s="18">
        <v>28.699284</v>
      </c>
      <c r="L1126" s="18">
        <v>42.312342</v>
      </c>
      <c r="M1126" s="18">
        <v>2000</v>
      </c>
      <c r="N1126" s="18" t="s">
        <v>642</v>
      </c>
    </row>
    <row r="1127" ht="15" customHeight="1" spans="1:14" x14ac:dyDescent="0.25">
      <c r="A1127" s="13" t="s">
        <v>2813</v>
      </c>
      <c r="B1127" s="13">
        <v>8</v>
      </c>
      <c r="C1127" s="14" t="s">
        <v>73</v>
      </c>
      <c r="D1127" s="13" t="s">
        <v>408</v>
      </c>
      <c r="E1127" s="14" t="s">
        <v>409</v>
      </c>
      <c r="F1127" s="14" t="s">
        <v>2814</v>
      </c>
      <c r="G1127" s="13" t="s">
        <v>113</v>
      </c>
      <c r="H1127" s="18" t="str">
        <f>IFERROR(INDEX('المحافظات Governorates'!$E$2:$E$151,MATCH(D1127,'المحافظات Governorates'!$A$2:$A$151,0)),"")</f>
        <v>Baqaa</v>
      </c>
      <c r="I1127" s="18" t="str">
        <f>IFERROR(INDEX('المناطق Regions'!$C$2:$C$15,MATCH(B1127,'المناطق Regions'!$A$2:$A$15,0)),"")</f>
        <v>Hail</v>
      </c>
      <c r="J1127" s="18" t="str">
        <f>F1127&amp;", "&amp;E1127&amp;", Saudi Arabia"</f>
        <v>شعيبة المياه, بقعاء, Saudi Arabia</v>
      </c>
      <c r="K1127" s="18">
        <v>27.842178</v>
      </c>
      <c r="L1127" s="18">
        <v>42.776101</v>
      </c>
      <c r="M1127" s="18">
        <v>2000</v>
      </c>
      <c r="N1127" s="18" t="s">
        <v>642</v>
      </c>
    </row>
    <row r="1128" ht="15" customHeight="1" spans="1:14" x14ac:dyDescent="0.25">
      <c r="A1128" s="11" t="s">
        <v>2815</v>
      </c>
      <c r="B1128" s="11">
        <v>8</v>
      </c>
      <c r="C1128" s="12" t="s">
        <v>73</v>
      </c>
      <c r="D1128" s="11" t="s">
        <v>408</v>
      </c>
      <c r="E1128" s="12" t="s">
        <v>409</v>
      </c>
      <c r="F1128" s="12" t="s">
        <v>2816</v>
      </c>
      <c r="G1128" s="11" t="s">
        <v>113</v>
      </c>
      <c r="H1128" s="18" t="str">
        <f>IFERROR(INDEX('المحافظات Governorates'!$E$2:$E$151,MATCH(D1128,'المحافظات Governorates'!$A$2:$A$151,0)),"")</f>
        <v>Baqaa</v>
      </c>
      <c r="I1128" s="18" t="str">
        <f>IFERROR(INDEX('المناطق Regions'!$C$2:$C$15,MATCH(B1128,'المناطق Regions'!$A$2:$A$15,0)),"")</f>
        <v>Hail</v>
      </c>
      <c r="J1128" s="18" t="str">
        <f>F1128&amp;", "&amp;E1128&amp;", Saudi Arabia"</f>
        <v>الشيحية, بقعاء, Saudi Arabia</v>
      </c>
      <c r="K1128" s="18">
        <v>27.890386</v>
      </c>
      <c r="L1128" s="18">
        <v>42.681883</v>
      </c>
      <c r="M1128" s="18">
        <v>2000</v>
      </c>
      <c r="N1128" s="18" t="s">
        <v>642</v>
      </c>
    </row>
    <row r="1129" ht="15" customHeight="1" spans="1:14" x14ac:dyDescent="0.25">
      <c r="A1129" s="13" t="s">
        <v>2817</v>
      </c>
      <c r="B1129" s="13">
        <v>8</v>
      </c>
      <c r="C1129" s="14" t="s">
        <v>73</v>
      </c>
      <c r="D1129" s="13" t="s">
        <v>408</v>
      </c>
      <c r="E1129" s="14" t="s">
        <v>409</v>
      </c>
      <c r="F1129" s="14" t="s">
        <v>1127</v>
      </c>
      <c r="G1129" s="13" t="s">
        <v>149</v>
      </c>
      <c r="H1129" s="18" t="str">
        <f>IFERROR(INDEX('المحافظات Governorates'!$E$2:$E$151,MATCH(D1129,'المحافظات Governorates'!$A$2:$A$151,0)),"")</f>
        <v>Baqaa</v>
      </c>
      <c r="I1129" s="18" t="str">
        <f>IFERROR(INDEX('المناطق Regions'!$C$2:$C$15,MATCH(B1129,'المناطق Regions'!$A$2:$A$15,0)),"")</f>
        <v>Hail</v>
      </c>
      <c r="J1129" s="18" t="str">
        <f>F1129&amp;", "&amp;E1129&amp;", Saudi Arabia"</f>
        <v>اشيقر, بقعاء, Saudi Arabia</v>
      </c>
      <c r="K1129" s="18">
        <v>28.829486</v>
      </c>
      <c r="L1129" s="18">
        <v>42.02029</v>
      </c>
      <c r="M1129" s="18">
        <v>2000</v>
      </c>
      <c r="N1129" s="18" t="s">
        <v>642</v>
      </c>
    </row>
    <row r="1130" ht="15" customHeight="1" spans="1:14" x14ac:dyDescent="0.25">
      <c r="A1130" s="11" t="s">
        <v>2818</v>
      </c>
      <c r="B1130" s="11">
        <v>8</v>
      </c>
      <c r="C1130" s="12" t="s">
        <v>73</v>
      </c>
      <c r="D1130" s="11" t="s">
        <v>408</v>
      </c>
      <c r="E1130" s="12" t="s">
        <v>409</v>
      </c>
      <c r="F1130" s="12" t="s">
        <v>2819</v>
      </c>
      <c r="G1130" s="11" t="s">
        <v>149</v>
      </c>
      <c r="H1130" s="18" t="str">
        <f>IFERROR(INDEX('المحافظات Governorates'!$E$2:$E$151,MATCH(D1130,'المحافظات Governorates'!$A$2:$A$151,0)),"")</f>
        <v>Baqaa</v>
      </c>
      <c r="I1130" s="18" t="str">
        <f>IFERROR(INDEX('المناطق Regions'!$C$2:$C$15,MATCH(B1130,'المناطق Regions'!$A$2:$A$15,0)),"")</f>
        <v>Hail</v>
      </c>
      <c r="J1130" s="18" t="str">
        <f>F1130&amp;", "&amp;E1130&amp;", Saudi Arabia"</f>
        <v>ام ساروت, بقعاء, Saudi Arabia</v>
      </c>
      <c r="K1130" s="18">
        <v>27.447841</v>
      </c>
      <c r="L1130" s="18">
        <v>43.401303</v>
      </c>
      <c r="M1130" s="18">
        <v>2000</v>
      </c>
      <c r="N1130" s="18" t="s">
        <v>642</v>
      </c>
    </row>
    <row r="1131" ht="15" customHeight="1" spans="1:14" x14ac:dyDescent="0.25">
      <c r="A1131" s="13" t="s">
        <v>2820</v>
      </c>
      <c r="B1131" s="13">
        <v>8</v>
      </c>
      <c r="C1131" s="14" t="s">
        <v>73</v>
      </c>
      <c r="D1131" s="13" t="s">
        <v>408</v>
      </c>
      <c r="E1131" s="14" t="s">
        <v>409</v>
      </c>
      <c r="F1131" s="14" t="s">
        <v>2821</v>
      </c>
      <c r="G1131" s="13" t="s">
        <v>149</v>
      </c>
      <c r="H1131" s="18" t="str">
        <f>IFERROR(INDEX('المحافظات Governorates'!$E$2:$E$151,MATCH(D1131,'المحافظات Governorates'!$A$2:$A$151,0)),"")</f>
        <v>Baqaa</v>
      </c>
      <c r="I1131" s="18" t="str">
        <f>IFERROR(INDEX('المناطق Regions'!$C$2:$C$15,MATCH(B1131,'المناطق Regions'!$A$2:$A$15,0)),"")</f>
        <v>Hail</v>
      </c>
      <c r="J1131" s="18" t="str">
        <f>F1131&amp;", "&amp;E1131&amp;", Saudi Arabia"</f>
        <v>الناصرية, بقعاء, Saudi Arabia</v>
      </c>
      <c r="K1131" s="18">
        <v>27.682931</v>
      </c>
      <c r="L1131" s="18">
        <v>42.551833</v>
      </c>
      <c r="M1131" s="18">
        <v>2000</v>
      </c>
      <c r="N1131" s="18" t="s">
        <v>642</v>
      </c>
    </row>
    <row r="1132" ht="15" customHeight="1" spans="1:14" x14ac:dyDescent="0.25">
      <c r="A1132" s="11" t="s">
        <v>2822</v>
      </c>
      <c r="B1132" s="11">
        <v>8</v>
      </c>
      <c r="C1132" s="12" t="s">
        <v>73</v>
      </c>
      <c r="D1132" s="11" t="s">
        <v>408</v>
      </c>
      <c r="E1132" s="12" t="s">
        <v>409</v>
      </c>
      <c r="F1132" s="12" t="s">
        <v>2823</v>
      </c>
      <c r="G1132" s="11" t="s">
        <v>149</v>
      </c>
      <c r="H1132" s="18" t="str">
        <f>IFERROR(INDEX('المحافظات Governorates'!$E$2:$E$151,MATCH(D1132,'المحافظات Governorates'!$A$2:$A$151,0)),"")</f>
        <v>Baqaa</v>
      </c>
      <c r="I1132" s="18" t="str">
        <f>IFERROR(INDEX('المناطق Regions'!$C$2:$C$15,MATCH(B1132,'المناطق Regions'!$A$2:$A$15,0)),"")</f>
        <v>Hail</v>
      </c>
      <c r="J1132" s="18" t="str">
        <f>F1132&amp;", "&amp;E1132&amp;", Saudi Arabia"</f>
        <v>الشعلانية, بقعاء, Saudi Arabia</v>
      </c>
      <c r="K1132" s="18">
        <v>27.726667</v>
      </c>
      <c r="L1132" s="18">
        <v>42.564167</v>
      </c>
      <c r="M1132" s="18">
        <v>2000</v>
      </c>
      <c r="N1132" s="18" t="s">
        <v>642</v>
      </c>
    </row>
    <row r="1133" ht="15" customHeight="1" spans="1:14" x14ac:dyDescent="0.25">
      <c r="A1133" s="13" t="s">
        <v>2824</v>
      </c>
      <c r="B1133" s="13">
        <v>8</v>
      </c>
      <c r="C1133" s="14" t="s">
        <v>73</v>
      </c>
      <c r="D1133" s="13" t="s">
        <v>408</v>
      </c>
      <c r="E1133" s="14" t="s">
        <v>409</v>
      </c>
      <c r="F1133" s="14" t="s">
        <v>2825</v>
      </c>
      <c r="G1133" s="13" t="s">
        <v>149</v>
      </c>
      <c r="H1133" s="18" t="str">
        <f>IFERROR(INDEX('المحافظات Governorates'!$E$2:$E$151,MATCH(D1133,'المحافظات Governorates'!$A$2:$A$151,0)),"")</f>
        <v>Baqaa</v>
      </c>
      <c r="I1133" s="18" t="str">
        <f>IFERROR(INDEX('المناطق Regions'!$C$2:$C$15,MATCH(B1133,'المناطق Regions'!$A$2:$A$15,0)),"")</f>
        <v>Hail</v>
      </c>
      <c r="J1133" s="18" t="str">
        <f>F1133&amp;", "&amp;E1133&amp;", Saudi Arabia"</f>
        <v>الجثاثية, بقعاء, Saudi Arabia</v>
      </c>
      <c r="K1133" s="18"/>
      <c r="L1133" s="18"/>
      <c r="M1133" s="18">
        <v>77965</v>
      </c>
      <c r="N1133" s="18" t="s">
        <v>2805</v>
      </c>
    </row>
    <row r="1134" ht="15" customHeight="1" spans="1:14" x14ac:dyDescent="0.25">
      <c r="A1134" s="11" t="s">
        <v>2826</v>
      </c>
      <c r="B1134" s="11">
        <v>8</v>
      </c>
      <c r="C1134" s="12" t="s">
        <v>73</v>
      </c>
      <c r="D1134" s="11" t="s">
        <v>408</v>
      </c>
      <c r="E1134" s="12" t="s">
        <v>409</v>
      </c>
      <c r="F1134" s="12" t="s">
        <v>2827</v>
      </c>
      <c r="G1134" s="11" t="s">
        <v>149</v>
      </c>
      <c r="H1134" s="18" t="str">
        <f>IFERROR(INDEX('المحافظات Governorates'!$E$2:$E$151,MATCH(D1134,'المحافظات Governorates'!$A$2:$A$151,0)),"")</f>
        <v>Baqaa</v>
      </c>
      <c r="I1134" s="18" t="str">
        <f>IFERROR(INDEX('المناطق Regions'!$C$2:$C$15,MATCH(B1134,'المناطق Regions'!$A$2:$A$15,0)),"")</f>
        <v>Hail</v>
      </c>
      <c r="J1134" s="18" t="str">
        <f>F1134&amp;", "&amp;E1134&amp;", Saudi Arabia"</f>
        <v>جبله, بقعاء, Saudi Arabia</v>
      </c>
      <c r="K1134" s="18"/>
      <c r="L1134" s="18"/>
      <c r="M1134" s="18">
        <v>77965</v>
      </c>
      <c r="N1134" s="18" t="s">
        <v>2805</v>
      </c>
    </row>
    <row r="1135" ht="15" customHeight="1" spans="1:14" x14ac:dyDescent="0.25">
      <c r="A1135" s="13" t="s">
        <v>2828</v>
      </c>
      <c r="B1135" s="13">
        <v>8</v>
      </c>
      <c r="C1135" s="14" t="s">
        <v>73</v>
      </c>
      <c r="D1135" s="13" t="s">
        <v>411</v>
      </c>
      <c r="E1135" s="14" t="s">
        <v>412</v>
      </c>
      <c r="F1135" s="14" t="s">
        <v>2829</v>
      </c>
      <c r="G1135" s="13" t="s">
        <v>149</v>
      </c>
      <c r="H1135" s="18" t="str">
        <f>IFERROR(INDEX('المحافظات Governorates'!$E$2:$E$151,MATCH(D1135,'المحافظات Governorates'!$A$2:$A$151,0)),"")</f>
        <v>Al-Ghazalah</v>
      </c>
      <c r="I1135" s="18" t="str">
        <f>IFERROR(INDEX('المناطق Regions'!$C$2:$C$15,MATCH(B1135,'المناطق Regions'!$A$2:$A$15,0)),"")</f>
        <v>Hail</v>
      </c>
      <c r="J1135" s="18" t="str">
        <f>F1135&amp;", "&amp;E1135&amp;", Saudi Arabia"</f>
        <v>ريع البكر, الغزاله, Saudi Arabia</v>
      </c>
      <c r="K1135" s="18">
        <v>26.761855</v>
      </c>
      <c r="L1135" s="18">
        <v>41.494619</v>
      </c>
      <c r="M1135" s="18">
        <v>2000</v>
      </c>
      <c r="N1135" s="18" t="s">
        <v>562</v>
      </c>
    </row>
    <row r="1136" ht="15" customHeight="1" spans="1:14" x14ac:dyDescent="0.25">
      <c r="A1136" s="11" t="s">
        <v>2830</v>
      </c>
      <c r="B1136" s="11">
        <v>8</v>
      </c>
      <c r="C1136" s="12" t="s">
        <v>73</v>
      </c>
      <c r="D1136" s="11" t="s">
        <v>411</v>
      </c>
      <c r="E1136" s="12" t="s">
        <v>412</v>
      </c>
      <c r="F1136" s="12" t="s">
        <v>2831</v>
      </c>
      <c r="G1136" s="11" t="s">
        <v>149</v>
      </c>
      <c r="H1136" s="18" t="str">
        <f>IFERROR(INDEX('المحافظات Governorates'!$E$2:$E$151,MATCH(D1136,'المحافظات Governorates'!$A$2:$A$151,0)),"")</f>
        <v>Al-Ghazalah</v>
      </c>
      <c r="I1136" s="18" t="str">
        <f>IFERROR(INDEX('المناطق Regions'!$C$2:$C$15,MATCH(B1136,'المناطق Regions'!$A$2:$A$15,0)),"")</f>
        <v>Hail</v>
      </c>
      <c r="J1136" s="18" t="str">
        <f>F1136&amp;", "&amp;E1136&amp;", Saudi Arabia"</f>
        <v>الهويدى, الغزاله, Saudi Arabia</v>
      </c>
      <c r="K1136" s="18">
        <v>27.023663</v>
      </c>
      <c r="L1136" s="18">
        <v>41.319806</v>
      </c>
      <c r="M1136" s="18">
        <v>2000</v>
      </c>
      <c r="N1136" s="18" t="s">
        <v>562</v>
      </c>
    </row>
    <row r="1137" ht="15" customHeight="1" spans="1:14" x14ac:dyDescent="0.25">
      <c r="A1137" s="13" t="s">
        <v>2832</v>
      </c>
      <c r="B1137" s="13">
        <v>8</v>
      </c>
      <c r="C1137" s="14" t="s">
        <v>73</v>
      </c>
      <c r="D1137" s="13" t="s">
        <v>411</v>
      </c>
      <c r="E1137" s="14" t="s">
        <v>412</v>
      </c>
      <c r="F1137" s="14" t="s">
        <v>2833</v>
      </c>
      <c r="G1137" s="13" t="s">
        <v>113</v>
      </c>
      <c r="H1137" s="18" t="str">
        <f>IFERROR(INDEX('المحافظات Governorates'!$E$2:$E$151,MATCH(D1137,'المحافظات Governorates'!$A$2:$A$151,0)),"")</f>
        <v>Al-Ghazalah</v>
      </c>
      <c r="I1137" s="18" t="str">
        <f>IFERROR(INDEX('المناطق Regions'!$C$2:$C$15,MATCH(B1137,'المناطق Regions'!$A$2:$A$15,0)),"")</f>
        <v>Hail</v>
      </c>
      <c r="J1137" s="18" t="str">
        <f>F1137&amp;", "&amp;E1137&amp;", Saudi Arabia"</f>
        <v>سقف, الغزاله, Saudi Arabia</v>
      </c>
      <c r="K1137" s="18">
        <v>26.920427</v>
      </c>
      <c r="L1137" s="18">
        <v>41.12636</v>
      </c>
      <c r="M1137" s="18">
        <v>2000</v>
      </c>
      <c r="N1137" s="18" t="s">
        <v>562</v>
      </c>
    </row>
    <row r="1138" ht="15" customHeight="1" spans="1:14" x14ac:dyDescent="0.25">
      <c r="A1138" s="11" t="s">
        <v>2834</v>
      </c>
      <c r="B1138" s="11">
        <v>8</v>
      </c>
      <c r="C1138" s="12" t="s">
        <v>73</v>
      </c>
      <c r="D1138" s="11" t="s">
        <v>411</v>
      </c>
      <c r="E1138" s="12" t="s">
        <v>412</v>
      </c>
      <c r="F1138" s="12" t="s">
        <v>2835</v>
      </c>
      <c r="G1138" s="11" t="s">
        <v>113</v>
      </c>
      <c r="H1138" s="18" t="str">
        <f>IFERROR(INDEX('المحافظات Governorates'!$E$2:$E$151,MATCH(D1138,'المحافظات Governorates'!$A$2:$A$151,0)),"")</f>
        <v>Al-Ghazalah</v>
      </c>
      <c r="I1138" s="18" t="str">
        <f>IFERROR(INDEX('المناطق Regions'!$C$2:$C$15,MATCH(B1138,'المناطق Regions'!$A$2:$A$15,0)),"")</f>
        <v>Hail</v>
      </c>
      <c r="J1138" s="18" t="str">
        <f>F1138&amp;", "&amp;E1138&amp;", Saudi Arabia"</f>
        <v>وسيطا الحفن, الغزاله, Saudi Arabia</v>
      </c>
      <c r="K1138" s="18">
        <v>26.772636</v>
      </c>
      <c r="L1138" s="18">
        <v>41.305623</v>
      </c>
      <c r="M1138" s="18">
        <v>67639</v>
      </c>
      <c r="N1138" s="18" t="s">
        <v>1235</v>
      </c>
    </row>
    <row r="1139" ht="15" customHeight="1" spans="1:14" x14ac:dyDescent="0.25">
      <c r="A1139" s="13" t="s">
        <v>2836</v>
      </c>
      <c r="B1139" s="13">
        <v>8</v>
      </c>
      <c r="C1139" s="14" t="s">
        <v>73</v>
      </c>
      <c r="D1139" s="13" t="s">
        <v>411</v>
      </c>
      <c r="E1139" s="14" t="s">
        <v>412</v>
      </c>
      <c r="F1139" s="14" t="s">
        <v>747</v>
      </c>
      <c r="G1139" s="13" t="s">
        <v>149</v>
      </c>
      <c r="H1139" s="18" t="str">
        <f>IFERROR(INDEX('المحافظات Governorates'!$E$2:$E$151,MATCH(D1139,'المحافظات Governorates'!$A$2:$A$151,0)),"")</f>
        <v>Al-Ghazalah</v>
      </c>
      <c r="I1139" s="18" t="str">
        <f>IFERROR(INDEX('المناطق Regions'!$C$2:$C$15,MATCH(B1139,'المناطق Regions'!$A$2:$A$15,0)),"")</f>
        <v>Hail</v>
      </c>
      <c r="J1139" s="18" t="str">
        <f>F1139&amp;", "&amp;E1139&amp;", Saudi Arabia"</f>
        <v>المستجده, الغزاله, Saudi Arabia</v>
      </c>
      <c r="K1139" s="18">
        <v>26.671815</v>
      </c>
      <c r="L1139" s="18">
        <v>41.535037</v>
      </c>
      <c r="M1139" s="18">
        <v>2000</v>
      </c>
      <c r="N1139" s="18" t="s">
        <v>562</v>
      </c>
    </row>
    <row r="1140" ht="15" customHeight="1" spans="1:14" x14ac:dyDescent="0.25">
      <c r="A1140" s="11" t="s">
        <v>2837</v>
      </c>
      <c r="B1140" s="11">
        <v>8</v>
      </c>
      <c r="C1140" s="12" t="s">
        <v>73</v>
      </c>
      <c r="D1140" s="11" t="s">
        <v>411</v>
      </c>
      <c r="E1140" s="12" t="s">
        <v>412</v>
      </c>
      <c r="F1140" s="12" t="s">
        <v>2838</v>
      </c>
      <c r="G1140" s="11" t="s">
        <v>149</v>
      </c>
      <c r="H1140" s="18" t="str">
        <f>IFERROR(INDEX('المحافظات Governorates'!$E$2:$E$151,MATCH(D1140,'المحافظات Governorates'!$A$2:$A$151,0)),"")</f>
        <v>Al-Ghazalah</v>
      </c>
      <c r="I1140" s="18" t="str">
        <f>IFERROR(INDEX('المناطق Regions'!$C$2:$C$15,MATCH(B1140,'المناطق Regions'!$A$2:$A$15,0)),"")</f>
        <v>Hail</v>
      </c>
      <c r="J1140" s="18" t="str">
        <f>F1140&amp;", "&amp;E1140&amp;", Saudi Arabia"</f>
        <v>بدع الحويط, الغزاله, Saudi Arabia</v>
      </c>
      <c r="K1140" s="18">
        <v>26.772636</v>
      </c>
      <c r="L1140" s="18">
        <v>41.305623</v>
      </c>
      <c r="M1140" s="18">
        <v>67639</v>
      </c>
      <c r="N1140" s="18" t="s">
        <v>1235</v>
      </c>
    </row>
    <row r="1141" ht="15" customHeight="1" spans="1:14" x14ac:dyDescent="0.25">
      <c r="A1141" s="13" t="s">
        <v>2839</v>
      </c>
      <c r="B1141" s="13">
        <v>8</v>
      </c>
      <c r="C1141" s="14" t="s">
        <v>73</v>
      </c>
      <c r="D1141" s="13" t="s">
        <v>414</v>
      </c>
      <c r="E1141" s="14" t="s">
        <v>415</v>
      </c>
      <c r="F1141" s="14" t="s">
        <v>2281</v>
      </c>
      <c r="G1141" s="13" t="s">
        <v>113</v>
      </c>
      <c r="H1141" s="18" t="str">
        <f>IFERROR(INDEX('المحافظات Governorates'!$E$2:$E$151,MATCH(D1141,'المحافظات Governorates'!$A$2:$A$151,0)),"")</f>
        <v>Ash-Shinan</v>
      </c>
      <c r="I1141" s="18" t="str">
        <f>IFERROR(INDEX('المناطق Regions'!$C$2:$C$15,MATCH(B1141,'المناطق Regions'!$A$2:$A$15,0)),"")</f>
        <v>Hail</v>
      </c>
      <c r="J1141" s="18" t="str">
        <f>F1141&amp;", "&amp;E1141&amp;", Saudi Arabia"</f>
        <v>الكهفه, الشنان, Saudi Arabia</v>
      </c>
      <c r="K1141" s="18">
        <v>27.067151</v>
      </c>
      <c r="L1141" s="18">
        <v>43.024349</v>
      </c>
      <c r="M1141" s="18">
        <v>2000</v>
      </c>
      <c r="N1141" s="18" t="s">
        <v>562</v>
      </c>
    </row>
    <row r="1142" ht="15" customHeight="1" spans="1:14" x14ac:dyDescent="0.25">
      <c r="A1142" s="11" t="s">
        <v>2840</v>
      </c>
      <c r="B1142" s="11">
        <v>8</v>
      </c>
      <c r="C1142" s="12" t="s">
        <v>73</v>
      </c>
      <c r="D1142" s="11" t="s">
        <v>414</v>
      </c>
      <c r="E1142" s="12" t="s">
        <v>415</v>
      </c>
      <c r="F1142" s="12" t="s">
        <v>2841</v>
      </c>
      <c r="G1142" s="11" t="s">
        <v>113</v>
      </c>
      <c r="H1142" s="18" t="str">
        <f>IFERROR(INDEX('المحافظات Governorates'!$E$2:$E$151,MATCH(D1142,'المحافظات Governorates'!$A$2:$A$151,0)),"")</f>
        <v>Ash-Shinan</v>
      </c>
      <c r="I1142" s="18" t="str">
        <f>IFERROR(INDEX('المناطق Regions'!$C$2:$C$15,MATCH(B1142,'المناطق Regions'!$A$2:$A$15,0)),"")</f>
        <v>Hail</v>
      </c>
      <c r="J1142" s="18" t="str">
        <f>F1142&amp;", "&amp;E1142&amp;", Saudi Arabia"</f>
        <v>طابه, الشنان, Saudi Arabia</v>
      </c>
      <c r="K1142" s="18">
        <v>27.028333</v>
      </c>
      <c r="L1142" s="18">
        <v>42.171667</v>
      </c>
      <c r="M1142" s="18">
        <v>2000</v>
      </c>
      <c r="N1142" s="18" t="s">
        <v>562</v>
      </c>
    </row>
    <row r="1143" ht="15" customHeight="1" spans="1:14" x14ac:dyDescent="0.25">
      <c r="A1143" s="13" t="s">
        <v>2842</v>
      </c>
      <c r="B1143" s="13">
        <v>8</v>
      </c>
      <c r="C1143" s="14" t="s">
        <v>73</v>
      </c>
      <c r="D1143" s="13" t="s">
        <v>414</v>
      </c>
      <c r="E1143" s="14" t="s">
        <v>415</v>
      </c>
      <c r="F1143" s="14" t="s">
        <v>2207</v>
      </c>
      <c r="G1143" s="13" t="s">
        <v>113</v>
      </c>
      <c r="H1143" s="18" t="str">
        <f>IFERROR(INDEX('المحافظات Governorates'!$E$2:$E$151,MATCH(D1143,'المحافظات Governorates'!$A$2:$A$151,0)),"")</f>
        <v>Ash-Shinan</v>
      </c>
      <c r="I1143" s="18" t="str">
        <f>IFERROR(INDEX('المناطق Regions'!$C$2:$C$15,MATCH(B1143,'المناطق Regions'!$A$2:$A$15,0)),"")</f>
        <v>Hail</v>
      </c>
      <c r="J1143" s="18" t="str">
        <f>F1143&amp;", "&amp;E1143&amp;", Saudi Arabia"</f>
        <v>السعيره, الشنان, Saudi Arabia</v>
      </c>
      <c r="K1143" s="18">
        <v>27.275441</v>
      </c>
      <c r="L1143" s="18">
        <v>43.176659</v>
      </c>
      <c r="M1143" s="18">
        <v>2000</v>
      </c>
      <c r="N1143" s="18" t="s">
        <v>562</v>
      </c>
    </row>
    <row r="1144" ht="15" customHeight="1" spans="1:14" x14ac:dyDescent="0.25">
      <c r="A1144" s="11" t="s">
        <v>2843</v>
      </c>
      <c r="B1144" s="11">
        <v>8</v>
      </c>
      <c r="C1144" s="12" t="s">
        <v>73</v>
      </c>
      <c r="D1144" s="11" t="s">
        <v>414</v>
      </c>
      <c r="E1144" s="12" t="s">
        <v>415</v>
      </c>
      <c r="F1144" s="12" t="s">
        <v>2844</v>
      </c>
      <c r="G1144" s="11" t="s">
        <v>113</v>
      </c>
      <c r="H1144" s="18" t="str">
        <f>IFERROR(INDEX('المحافظات Governorates'!$E$2:$E$151,MATCH(D1144,'المحافظات Governorates'!$A$2:$A$151,0)),"")</f>
        <v>Ash-Shinan</v>
      </c>
      <c r="I1144" s="18" t="str">
        <f>IFERROR(INDEX('المناطق Regions'!$C$2:$C$15,MATCH(B1144,'المناطق Regions'!$A$2:$A$15,0)),"")</f>
        <v>Hail</v>
      </c>
      <c r="J1144" s="18" t="str">
        <f>F1144&amp;", "&amp;E1144&amp;", Saudi Arabia"</f>
        <v>العدوه, الشنان, Saudi Arabia</v>
      </c>
      <c r="K1144" s="18">
        <v>27.297502</v>
      </c>
      <c r="L1144" s="18">
        <v>42.273561</v>
      </c>
      <c r="M1144" s="18">
        <v>2000</v>
      </c>
      <c r="N1144" s="18" t="s">
        <v>562</v>
      </c>
    </row>
    <row r="1145" ht="15" customHeight="1" spans="1:14" x14ac:dyDescent="0.25">
      <c r="A1145" s="13" t="s">
        <v>2845</v>
      </c>
      <c r="B1145" s="13">
        <v>8</v>
      </c>
      <c r="C1145" s="14" t="s">
        <v>73</v>
      </c>
      <c r="D1145" s="13" t="s">
        <v>414</v>
      </c>
      <c r="E1145" s="14" t="s">
        <v>415</v>
      </c>
      <c r="F1145" s="14" t="s">
        <v>2846</v>
      </c>
      <c r="G1145" s="13" t="s">
        <v>113</v>
      </c>
      <c r="H1145" s="18" t="str">
        <f>IFERROR(INDEX('المحافظات Governorates'!$E$2:$E$151,MATCH(D1145,'المحافظات Governorates'!$A$2:$A$151,0)),"")</f>
        <v>Ash-Shinan</v>
      </c>
      <c r="I1145" s="18" t="str">
        <f>IFERROR(INDEX('المناطق Regions'!$C$2:$C$15,MATCH(B1145,'المناطق Regions'!$A$2:$A$15,0)),"")</f>
        <v>Hail</v>
      </c>
      <c r="J1145" s="18" t="str">
        <f>F1145&amp;", "&amp;E1145&amp;", Saudi Arabia"</f>
        <v>فيد, الشنان, Saudi Arabia</v>
      </c>
      <c r="K1145" s="18">
        <v>27.113229</v>
      </c>
      <c r="L1145" s="18">
        <v>42.518809</v>
      </c>
      <c r="M1145" s="18">
        <v>2000</v>
      </c>
      <c r="N1145" s="18" t="s">
        <v>562</v>
      </c>
    </row>
    <row r="1146" ht="15" customHeight="1" spans="1:14" x14ac:dyDescent="0.25">
      <c r="A1146" s="11" t="s">
        <v>2847</v>
      </c>
      <c r="B1146" s="11">
        <v>8</v>
      </c>
      <c r="C1146" s="12" t="s">
        <v>73</v>
      </c>
      <c r="D1146" s="11" t="s">
        <v>414</v>
      </c>
      <c r="E1146" s="12" t="s">
        <v>415</v>
      </c>
      <c r="F1146" s="12" t="s">
        <v>2848</v>
      </c>
      <c r="G1146" s="11" t="s">
        <v>149</v>
      </c>
      <c r="H1146" s="18" t="str">
        <f>IFERROR(INDEX('المحافظات Governorates'!$E$2:$E$151,MATCH(D1146,'المحافظات Governorates'!$A$2:$A$151,0)),"")</f>
        <v>Ash-Shinan</v>
      </c>
      <c r="I1146" s="18" t="str">
        <f>IFERROR(INDEX('المناطق Regions'!$C$2:$C$15,MATCH(B1146,'المناطق Regions'!$A$2:$A$15,0)),"")</f>
        <v>Hail</v>
      </c>
      <c r="J1146" s="18" t="str">
        <f>F1146&amp;", "&amp;E1146&amp;", Saudi Arabia"</f>
        <v>الساقية, الشنان, Saudi Arabia</v>
      </c>
      <c r="K1146" s="18">
        <v>27.153784</v>
      </c>
      <c r="L1146" s="18">
        <v>42.466469</v>
      </c>
      <c r="M1146" s="18">
        <v>2000</v>
      </c>
      <c r="N1146" s="18" t="s">
        <v>562</v>
      </c>
    </row>
    <row r="1147" ht="15" customHeight="1" spans="1:14" x14ac:dyDescent="0.25">
      <c r="A1147" s="13" t="s">
        <v>2849</v>
      </c>
      <c r="B1147" s="13">
        <v>8</v>
      </c>
      <c r="C1147" s="14" t="s">
        <v>73</v>
      </c>
      <c r="D1147" s="13" t="s">
        <v>414</v>
      </c>
      <c r="E1147" s="14" t="s">
        <v>415</v>
      </c>
      <c r="F1147" s="14" t="s">
        <v>2850</v>
      </c>
      <c r="G1147" s="13" t="s">
        <v>149</v>
      </c>
      <c r="H1147" s="18" t="str">
        <f>IFERROR(INDEX('المحافظات Governorates'!$E$2:$E$151,MATCH(D1147,'المحافظات Governorates'!$A$2:$A$151,0)),"")</f>
        <v>Ash-Shinan</v>
      </c>
      <c r="I1147" s="18" t="str">
        <f>IFERROR(INDEX('المناطق Regions'!$C$2:$C$15,MATCH(B1147,'المناطق Regions'!$A$2:$A$15,0)),"")</f>
        <v>Hail</v>
      </c>
      <c r="J1147" s="18" t="str">
        <f>F1147&amp;", "&amp;E1147&amp;", Saudi Arabia"</f>
        <v>رك, الشنان, Saudi Arabia</v>
      </c>
      <c r="K1147" s="18">
        <v>27.251729</v>
      </c>
      <c r="L1147" s="18">
        <v>42.2687</v>
      </c>
      <c r="M1147" s="18">
        <v>2000</v>
      </c>
      <c r="N1147" s="18" t="s">
        <v>562</v>
      </c>
    </row>
    <row r="1148" ht="15" customHeight="1" spans="1:14" x14ac:dyDescent="0.25">
      <c r="A1148" s="11" t="s">
        <v>2851</v>
      </c>
      <c r="B1148" s="11">
        <v>8</v>
      </c>
      <c r="C1148" s="12" t="s">
        <v>73</v>
      </c>
      <c r="D1148" s="11" t="s">
        <v>414</v>
      </c>
      <c r="E1148" s="12" t="s">
        <v>415</v>
      </c>
      <c r="F1148" s="12" t="s">
        <v>2852</v>
      </c>
      <c r="G1148" s="11" t="s">
        <v>149</v>
      </c>
      <c r="H1148" s="18" t="str">
        <f>IFERROR(INDEX('المحافظات Governorates'!$E$2:$E$151,MATCH(D1148,'المحافظات Governorates'!$A$2:$A$151,0)),"")</f>
        <v>Ash-Shinan</v>
      </c>
      <c r="I1148" s="18" t="str">
        <f>IFERROR(INDEX('المناطق Regions'!$C$2:$C$15,MATCH(B1148,'المناطق Regions'!$A$2:$A$15,0)),"")</f>
        <v>Hail</v>
      </c>
      <c r="J1148" s="18" t="str">
        <f>F1148&amp;", "&amp;E1148&amp;", Saudi Arabia"</f>
        <v>النعى, الشنان, Saudi Arabia</v>
      </c>
      <c r="K1148" s="18">
        <v>27.173686</v>
      </c>
      <c r="L1148" s="18">
        <v>42.292352</v>
      </c>
      <c r="M1148" s="18">
        <v>2000</v>
      </c>
      <c r="N1148" s="18" t="s">
        <v>562</v>
      </c>
    </row>
    <row r="1149" ht="15" customHeight="1" spans="1:14" x14ac:dyDescent="0.25">
      <c r="A1149" s="13" t="s">
        <v>2853</v>
      </c>
      <c r="B1149" s="13">
        <v>8</v>
      </c>
      <c r="C1149" s="14" t="s">
        <v>73</v>
      </c>
      <c r="D1149" s="13" t="s">
        <v>414</v>
      </c>
      <c r="E1149" s="14" t="s">
        <v>415</v>
      </c>
      <c r="F1149" s="14" t="s">
        <v>2854</v>
      </c>
      <c r="G1149" s="13" t="s">
        <v>149</v>
      </c>
      <c r="H1149" s="18" t="str">
        <f>IFERROR(INDEX('المحافظات Governorates'!$E$2:$E$151,MATCH(D1149,'المحافظات Governorates'!$A$2:$A$151,0)),"")</f>
        <v>Ash-Shinan</v>
      </c>
      <c r="I1149" s="18" t="str">
        <f>IFERROR(INDEX('المناطق Regions'!$C$2:$C$15,MATCH(B1149,'المناطق Regions'!$A$2:$A$15,0)),"")</f>
        <v>Hail</v>
      </c>
      <c r="J1149" s="18" t="str">
        <f>F1149&amp;", "&amp;E1149&amp;", Saudi Arabia"</f>
        <v>الجحفه, الشنان, Saudi Arabia</v>
      </c>
      <c r="K1149" s="18">
        <v>27.065924</v>
      </c>
      <c r="L1149" s="18">
        <v>42.241779</v>
      </c>
      <c r="M1149" s="18">
        <v>2000</v>
      </c>
      <c r="N1149" s="18" t="s">
        <v>562</v>
      </c>
    </row>
    <row r="1150" ht="15" customHeight="1" spans="1:14" x14ac:dyDescent="0.25">
      <c r="A1150" s="11" t="s">
        <v>2855</v>
      </c>
      <c r="B1150" s="11">
        <v>8</v>
      </c>
      <c r="C1150" s="12" t="s">
        <v>73</v>
      </c>
      <c r="D1150" s="11" t="s">
        <v>414</v>
      </c>
      <c r="E1150" s="12" t="s">
        <v>415</v>
      </c>
      <c r="F1150" s="12" t="s">
        <v>1269</v>
      </c>
      <c r="G1150" s="11" t="s">
        <v>149</v>
      </c>
      <c r="H1150" s="18" t="str">
        <f>IFERROR(INDEX('المحافظات Governorates'!$E$2:$E$151,MATCH(D1150,'المحافظات Governorates'!$A$2:$A$151,0)),"")</f>
        <v>Ash-Shinan</v>
      </c>
      <c r="I1150" s="18" t="str">
        <f>IFERROR(INDEX('المناطق Regions'!$C$2:$C$15,MATCH(B1150,'المناطق Regions'!$A$2:$A$15,0)),"")</f>
        <v>Hail</v>
      </c>
      <c r="J1150" s="18" t="str">
        <f>F1150&amp;", "&amp;E1150&amp;", Saudi Arabia"</f>
        <v>البير, الشنان, Saudi Arabia</v>
      </c>
      <c r="K1150" s="18">
        <v>26.918871</v>
      </c>
      <c r="L1150" s="18">
        <v>42.174435</v>
      </c>
      <c r="M1150" s="18">
        <v>2000</v>
      </c>
      <c r="N1150" s="18" t="s">
        <v>562</v>
      </c>
    </row>
    <row r="1151" ht="15" customHeight="1" spans="1:14" x14ac:dyDescent="0.25">
      <c r="A1151" s="13" t="s">
        <v>2856</v>
      </c>
      <c r="B1151" s="13">
        <v>8</v>
      </c>
      <c r="C1151" s="14" t="s">
        <v>73</v>
      </c>
      <c r="D1151" s="13" t="s">
        <v>414</v>
      </c>
      <c r="E1151" s="14" t="s">
        <v>415</v>
      </c>
      <c r="F1151" s="14" t="s">
        <v>2857</v>
      </c>
      <c r="G1151" s="13" t="s">
        <v>149</v>
      </c>
      <c r="H1151" s="18" t="str">
        <f>IFERROR(INDEX('المحافظات Governorates'!$E$2:$E$151,MATCH(D1151,'المحافظات Governorates'!$A$2:$A$151,0)),"")</f>
        <v>Ash-Shinan</v>
      </c>
      <c r="I1151" s="18" t="str">
        <f>IFERROR(INDEX('المناطق Regions'!$C$2:$C$15,MATCH(B1151,'المناطق Regions'!$A$2:$A$15,0)),"")</f>
        <v>Hail</v>
      </c>
      <c r="J1151" s="18" t="str">
        <f>F1151&amp;", "&amp;E1151&amp;", Saudi Arabia"</f>
        <v>السبعان, الشنان, Saudi Arabia</v>
      </c>
      <c r="K1151" s="18">
        <v>27.039167</v>
      </c>
      <c r="L1151" s="18">
        <v>41.975278</v>
      </c>
      <c r="M1151" s="18">
        <v>2000</v>
      </c>
      <c r="N1151" s="18" t="s">
        <v>562</v>
      </c>
    </row>
    <row r="1152" ht="15" customHeight="1" spans="1:14" x14ac:dyDescent="0.25">
      <c r="A1152" s="11" t="s">
        <v>2858</v>
      </c>
      <c r="B1152" s="11">
        <v>8</v>
      </c>
      <c r="C1152" s="12" t="s">
        <v>73</v>
      </c>
      <c r="D1152" s="11" t="s">
        <v>414</v>
      </c>
      <c r="E1152" s="12" t="s">
        <v>415</v>
      </c>
      <c r="F1152" s="12" t="s">
        <v>2859</v>
      </c>
      <c r="G1152" s="11" t="s">
        <v>149</v>
      </c>
      <c r="H1152" s="18" t="str">
        <f>IFERROR(INDEX('المحافظات Governorates'!$E$2:$E$151,MATCH(D1152,'المحافظات Governorates'!$A$2:$A$151,0)),"")</f>
        <v>Ash-Shinan</v>
      </c>
      <c r="I1152" s="18" t="str">
        <f>IFERROR(INDEX('المناطق Regions'!$C$2:$C$15,MATCH(B1152,'المناطق Regions'!$A$2:$A$15,0)),"")</f>
        <v>Hail</v>
      </c>
      <c r="J1152" s="18" t="str">
        <f>F1152&amp;", "&amp;E1152&amp;", Saudi Arabia"</f>
        <v>الصغوي, الشنان, Saudi Arabia</v>
      </c>
      <c r="K1152" s="18">
        <v>26.778337</v>
      </c>
      <c r="L1152" s="18">
        <v>42.695061</v>
      </c>
      <c r="M1152" s="18">
        <v>2000</v>
      </c>
      <c r="N1152" s="18" t="s">
        <v>562</v>
      </c>
    </row>
    <row r="1153" ht="15" customHeight="1" spans="1:14" x14ac:dyDescent="0.25">
      <c r="A1153" s="13" t="s">
        <v>2860</v>
      </c>
      <c r="B1153" s="13">
        <v>8</v>
      </c>
      <c r="C1153" s="14" t="s">
        <v>73</v>
      </c>
      <c r="D1153" s="13" t="s">
        <v>414</v>
      </c>
      <c r="E1153" s="14" t="s">
        <v>415</v>
      </c>
      <c r="F1153" s="14" t="s">
        <v>2861</v>
      </c>
      <c r="G1153" s="13" t="s">
        <v>149</v>
      </c>
      <c r="H1153" s="18" t="str">
        <f>IFERROR(INDEX('المحافظات Governorates'!$E$2:$E$151,MATCH(D1153,'المحافظات Governorates'!$A$2:$A$151,0)),"")</f>
        <v>Ash-Shinan</v>
      </c>
      <c r="I1153" s="18" t="str">
        <f>IFERROR(INDEX('المناطق Regions'!$C$2:$C$15,MATCH(B1153,'المناطق Regions'!$A$2:$A$15,0)),"")</f>
        <v>Hail</v>
      </c>
      <c r="J1153" s="18" t="str">
        <f>F1153&amp;", "&amp;E1153&amp;", Saudi Arabia"</f>
        <v>الطرفية, الشنان, Saudi Arabia</v>
      </c>
      <c r="K1153" s="18">
        <v>27.138226</v>
      </c>
      <c r="L1153" s="18">
        <v>42.540189</v>
      </c>
      <c r="M1153" s="18">
        <v>96912</v>
      </c>
      <c r="N1153" s="18" t="s">
        <v>2862</v>
      </c>
    </row>
    <row r="1154" ht="15" customHeight="1" spans="1:14" x14ac:dyDescent="0.25">
      <c r="A1154" s="11" t="s">
        <v>2863</v>
      </c>
      <c r="B1154" s="11">
        <v>8</v>
      </c>
      <c r="C1154" s="12" t="s">
        <v>73</v>
      </c>
      <c r="D1154" s="11" t="s">
        <v>414</v>
      </c>
      <c r="E1154" s="12" t="s">
        <v>415</v>
      </c>
      <c r="F1154" s="12" t="s">
        <v>2864</v>
      </c>
      <c r="G1154" s="11" t="s">
        <v>149</v>
      </c>
      <c r="H1154" s="18" t="str">
        <f>IFERROR(INDEX('المحافظات Governorates'!$E$2:$E$151,MATCH(D1154,'المحافظات Governorates'!$A$2:$A$151,0)),"")</f>
        <v>Ash-Shinan</v>
      </c>
      <c r="I1154" s="18" t="str">
        <f>IFERROR(INDEX('المناطق Regions'!$C$2:$C$15,MATCH(B1154,'المناطق Regions'!$A$2:$A$15,0)),"")</f>
        <v>Hail</v>
      </c>
      <c r="J1154" s="18" t="str">
        <f>F1154&amp;", "&amp;E1154&amp;", Saudi Arabia"</f>
        <v>الأرشاوية, الشنان, Saudi Arabia</v>
      </c>
      <c r="K1154" s="18">
        <v>27.138226</v>
      </c>
      <c r="L1154" s="18">
        <v>42.540189</v>
      </c>
      <c r="M1154" s="18">
        <v>96912</v>
      </c>
      <c r="N1154" s="18" t="s">
        <v>2862</v>
      </c>
    </row>
    <row r="1155" ht="15" customHeight="1" spans="1:14" x14ac:dyDescent="0.25">
      <c r="A1155" s="13" t="s">
        <v>2865</v>
      </c>
      <c r="B1155" s="13">
        <v>8</v>
      </c>
      <c r="C1155" s="14" t="s">
        <v>73</v>
      </c>
      <c r="D1155" s="13" t="s">
        <v>417</v>
      </c>
      <c r="E1155" s="14" t="s">
        <v>418</v>
      </c>
      <c r="F1155" s="14" t="s">
        <v>2866</v>
      </c>
      <c r="G1155" s="13" t="s">
        <v>113</v>
      </c>
      <c r="H1155" s="18" t="str">
        <f>IFERROR(INDEX('المحافظات Governorates'!$E$2:$E$151,MATCH(D1155,'المحافظات Governorates'!$A$2:$A$151,0)),"")</f>
        <v>Ash-Shamli</v>
      </c>
      <c r="I1155" s="18" t="str">
        <f>IFERROR(INDEX('المناطق Regions'!$C$2:$C$15,MATCH(B1155,'المناطق Regions'!$A$2:$A$15,0)),"")</f>
        <v>Hail</v>
      </c>
      <c r="J1155" s="18" t="str">
        <f>F1155&amp;", "&amp;E1155&amp;", Saudi Arabia"</f>
        <v>بيضاء نثيل, الشملى, Saudi Arabia</v>
      </c>
      <c r="K1155" s="18">
        <v>27.046905</v>
      </c>
      <c r="L1155" s="18">
        <v>40.425961</v>
      </c>
      <c r="M1155" s="18">
        <v>2000</v>
      </c>
      <c r="N1155" s="18" t="s">
        <v>562</v>
      </c>
    </row>
    <row r="1156" ht="15" customHeight="1" spans="1:14" x14ac:dyDescent="0.25">
      <c r="A1156" s="11" t="s">
        <v>2867</v>
      </c>
      <c r="B1156" s="11">
        <v>8</v>
      </c>
      <c r="C1156" s="12" t="s">
        <v>73</v>
      </c>
      <c r="D1156" s="11" t="s">
        <v>417</v>
      </c>
      <c r="E1156" s="12" t="s">
        <v>418</v>
      </c>
      <c r="F1156" s="12" t="s">
        <v>2868</v>
      </c>
      <c r="G1156" s="11" t="s">
        <v>113</v>
      </c>
      <c r="H1156" s="18" t="str">
        <f>IFERROR(INDEX('المحافظات Governorates'!$E$2:$E$151,MATCH(D1156,'المحافظات Governorates'!$A$2:$A$151,0)),"")</f>
        <v>Ash-Shamli</v>
      </c>
      <c r="I1156" s="18" t="str">
        <f>IFERROR(INDEX('المناطق Regions'!$C$2:$C$15,MATCH(B1156,'المناطق Regions'!$A$2:$A$15,0)),"")</f>
        <v>Hail</v>
      </c>
      <c r="J1156" s="18" t="str">
        <f>F1156&amp;", "&amp;E1156&amp;", Saudi Arabia"</f>
        <v>فيضة بن سويلم, الشملى, Saudi Arabia</v>
      </c>
      <c r="K1156" s="18">
        <v>26.94104</v>
      </c>
      <c r="L1156" s="18">
        <v>40.181963</v>
      </c>
      <c r="M1156" s="18">
        <v>102341</v>
      </c>
      <c r="N1156" s="18" t="s">
        <v>2869</v>
      </c>
    </row>
    <row r="1157" ht="15" customHeight="1" spans="1:14" x14ac:dyDescent="0.25">
      <c r="A1157" s="13" t="s">
        <v>2870</v>
      </c>
      <c r="B1157" s="13">
        <v>8</v>
      </c>
      <c r="C1157" s="14" t="s">
        <v>73</v>
      </c>
      <c r="D1157" s="13" t="s">
        <v>417</v>
      </c>
      <c r="E1157" s="14" t="s">
        <v>418</v>
      </c>
      <c r="F1157" s="14" t="s">
        <v>2871</v>
      </c>
      <c r="G1157" s="13" t="s">
        <v>149</v>
      </c>
      <c r="H1157" s="18" t="str">
        <f>IFERROR(INDEX('المحافظات Governorates'!$E$2:$E$151,MATCH(D1157,'المحافظات Governorates'!$A$2:$A$151,0)),"")</f>
        <v>Ash-Shamli</v>
      </c>
      <c r="I1157" s="18" t="str">
        <f>IFERROR(INDEX('المناطق Regions'!$C$2:$C$15,MATCH(B1157,'المناطق Regions'!$A$2:$A$15,0)),"")</f>
        <v>Hail</v>
      </c>
      <c r="J1157" s="18" t="str">
        <f>F1157&amp;", "&amp;E1157&amp;", Saudi Arabia"</f>
        <v>عمائر بن صنعاء, الشملى, Saudi Arabia</v>
      </c>
      <c r="K1157" s="18">
        <v>26.94104</v>
      </c>
      <c r="L1157" s="18">
        <v>40.181963</v>
      </c>
      <c r="M1157" s="18">
        <v>102341</v>
      </c>
      <c r="N1157" s="18" t="s">
        <v>2869</v>
      </c>
    </row>
    <row r="1158" ht="15" customHeight="1" spans="1:14" x14ac:dyDescent="0.25">
      <c r="A1158" s="11" t="s">
        <v>2872</v>
      </c>
      <c r="B1158" s="11">
        <v>8</v>
      </c>
      <c r="C1158" s="12" t="s">
        <v>73</v>
      </c>
      <c r="D1158" s="11" t="s">
        <v>417</v>
      </c>
      <c r="E1158" s="12" t="s">
        <v>418</v>
      </c>
      <c r="F1158" s="12" t="s">
        <v>2873</v>
      </c>
      <c r="G1158" s="11" t="s">
        <v>149</v>
      </c>
      <c r="H1158" s="18" t="str">
        <f>IFERROR(INDEX('المحافظات Governorates'!$E$2:$E$151,MATCH(D1158,'المحافظات Governorates'!$A$2:$A$151,0)),"")</f>
        <v>Ash-Shamli</v>
      </c>
      <c r="I1158" s="18" t="str">
        <f>IFERROR(INDEX('المناطق Regions'!$C$2:$C$15,MATCH(B1158,'المناطق Regions'!$A$2:$A$15,0)),"")</f>
        <v>Hail</v>
      </c>
      <c r="J1158" s="18" t="str">
        <f>F1158&amp;", "&amp;E1158&amp;", Saudi Arabia"</f>
        <v>ساحوت, الشملى, Saudi Arabia</v>
      </c>
      <c r="K1158" s="18">
        <v>27.340512</v>
      </c>
      <c r="L1158" s="18">
        <v>39.915304</v>
      </c>
      <c r="M1158" s="18">
        <v>2000</v>
      </c>
      <c r="N1158" s="18" t="s">
        <v>562</v>
      </c>
    </row>
    <row r="1159" ht="15" customHeight="1" spans="1:14" x14ac:dyDescent="0.25">
      <c r="A1159" s="13" t="s">
        <v>2874</v>
      </c>
      <c r="B1159" s="13">
        <v>8</v>
      </c>
      <c r="C1159" s="14" t="s">
        <v>73</v>
      </c>
      <c r="D1159" s="13" t="s">
        <v>417</v>
      </c>
      <c r="E1159" s="14" t="s">
        <v>418</v>
      </c>
      <c r="F1159" s="14" t="s">
        <v>2875</v>
      </c>
      <c r="G1159" s="13" t="s">
        <v>113</v>
      </c>
      <c r="H1159" s="18" t="str">
        <f>IFERROR(INDEX('المحافظات Governorates'!$E$2:$E$151,MATCH(D1159,'المحافظات Governorates'!$A$2:$A$151,0)),"")</f>
        <v>Ash-Shamli</v>
      </c>
      <c r="I1159" s="18" t="str">
        <f>IFERROR(INDEX('المناطق Regions'!$C$2:$C$15,MATCH(B1159,'المناطق Regions'!$A$2:$A$15,0)),"")</f>
        <v>Hail</v>
      </c>
      <c r="J1159" s="18" t="str">
        <f>F1159&amp;", "&amp;E1159&amp;", Saudi Arabia"</f>
        <v>بئر الرفدي, الشملى, Saudi Arabia</v>
      </c>
      <c r="K1159" s="18">
        <v>26.920709</v>
      </c>
      <c r="L1159" s="18">
        <v>40.228499</v>
      </c>
      <c r="M1159" s="18">
        <v>2000</v>
      </c>
      <c r="N1159" s="18" t="s">
        <v>562</v>
      </c>
    </row>
    <row r="1160" ht="15" customHeight="1" spans="1:14" x14ac:dyDescent="0.25">
      <c r="A1160" s="11" t="s">
        <v>2876</v>
      </c>
      <c r="B1160" s="11">
        <v>8</v>
      </c>
      <c r="C1160" s="12" t="s">
        <v>73</v>
      </c>
      <c r="D1160" s="11" t="s">
        <v>417</v>
      </c>
      <c r="E1160" s="12" t="s">
        <v>418</v>
      </c>
      <c r="F1160" s="12" t="s">
        <v>2877</v>
      </c>
      <c r="G1160" s="11" t="s">
        <v>113</v>
      </c>
      <c r="H1160" s="18" t="str">
        <f>IFERROR(INDEX('المحافظات Governorates'!$E$2:$E$151,MATCH(D1160,'المحافظات Governorates'!$A$2:$A$151,0)),"")</f>
        <v>Ash-Shamli</v>
      </c>
      <c r="I1160" s="18" t="str">
        <f>IFERROR(INDEX('المناطق Regions'!$C$2:$C$15,MATCH(B1160,'المناطق Regions'!$A$2:$A$15,0)),"")</f>
        <v>Hail</v>
      </c>
      <c r="J1160" s="18" t="str">
        <f>F1160&amp;", "&amp;E1160&amp;", Saudi Arabia"</f>
        <v>غزلانه, الشملى, Saudi Arabia</v>
      </c>
      <c r="K1160" s="18">
        <v>26.814075</v>
      </c>
      <c r="L1160" s="18">
        <v>39.750928</v>
      </c>
      <c r="M1160" s="18">
        <v>2000</v>
      </c>
      <c r="N1160" s="18" t="s">
        <v>562</v>
      </c>
    </row>
    <row r="1161" ht="15" customHeight="1" spans="1:14" x14ac:dyDescent="0.25">
      <c r="A1161" s="13" t="s">
        <v>2878</v>
      </c>
      <c r="B1161" s="13">
        <v>8</v>
      </c>
      <c r="C1161" s="14" t="s">
        <v>73</v>
      </c>
      <c r="D1161" s="13" t="s">
        <v>417</v>
      </c>
      <c r="E1161" s="14" t="s">
        <v>418</v>
      </c>
      <c r="F1161" s="14" t="s">
        <v>2879</v>
      </c>
      <c r="G1161" s="13" t="s">
        <v>149</v>
      </c>
      <c r="H1161" s="18" t="str">
        <f>IFERROR(INDEX('المحافظات Governorates'!$E$2:$E$151,MATCH(D1161,'المحافظات Governorates'!$A$2:$A$151,0)),"")</f>
        <v>Ash-Shamli</v>
      </c>
      <c r="I1161" s="18" t="str">
        <f>IFERROR(INDEX('المناطق Regions'!$C$2:$C$15,MATCH(B1161,'المناطق Regions'!$A$2:$A$15,0)),"")</f>
        <v>Hail</v>
      </c>
      <c r="J1161" s="18" t="str">
        <f>F1161&amp;", "&amp;E1161&amp;", Saudi Arabia"</f>
        <v>لبده, الشملى, Saudi Arabia</v>
      </c>
      <c r="K1161" s="18">
        <v>26.642376</v>
      </c>
      <c r="L1161" s="18">
        <v>40.473112</v>
      </c>
      <c r="M1161" s="18">
        <v>2000</v>
      </c>
      <c r="N1161" s="18" t="s">
        <v>562</v>
      </c>
    </row>
    <row r="1162" ht="15" customHeight="1" spans="1:14" x14ac:dyDescent="0.25">
      <c r="A1162" s="11" t="s">
        <v>2880</v>
      </c>
      <c r="B1162" s="11">
        <v>8</v>
      </c>
      <c r="C1162" s="12" t="s">
        <v>73</v>
      </c>
      <c r="D1162" s="11" t="s">
        <v>417</v>
      </c>
      <c r="E1162" s="12" t="s">
        <v>418</v>
      </c>
      <c r="F1162" s="12" t="s">
        <v>2881</v>
      </c>
      <c r="G1162" s="11" t="s">
        <v>149</v>
      </c>
      <c r="H1162" s="18" t="str">
        <f>IFERROR(INDEX('المحافظات Governorates'!$E$2:$E$151,MATCH(D1162,'المحافظات Governorates'!$A$2:$A$151,0)),"")</f>
        <v>Ash-Shamli</v>
      </c>
      <c r="I1162" s="18" t="str">
        <f>IFERROR(INDEX('المناطق Regions'!$C$2:$C$15,MATCH(B1162,'المناطق Regions'!$A$2:$A$15,0)),"")</f>
        <v>Hail</v>
      </c>
      <c r="J1162" s="18" t="str">
        <f>F1162&amp;", "&amp;E1162&amp;", Saudi Arabia"</f>
        <v>ضاحية الشملي الغربية, الشملى, Saudi Arabia</v>
      </c>
      <c r="K1162" s="18">
        <v>26.94104</v>
      </c>
      <c r="L1162" s="18">
        <v>40.181963</v>
      </c>
      <c r="M1162" s="18">
        <v>102341</v>
      </c>
      <c r="N1162" s="18" t="s">
        <v>2869</v>
      </c>
    </row>
    <row r="1163" ht="15" customHeight="1" spans="1:14" x14ac:dyDescent="0.25">
      <c r="A1163" s="13" t="s">
        <v>2882</v>
      </c>
      <c r="B1163" s="13">
        <v>8</v>
      </c>
      <c r="C1163" s="14" t="s">
        <v>73</v>
      </c>
      <c r="D1163" s="13" t="s">
        <v>417</v>
      </c>
      <c r="E1163" s="14" t="s">
        <v>418</v>
      </c>
      <c r="F1163" s="14" t="s">
        <v>1797</v>
      </c>
      <c r="G1163" s="13" t="s">
        <v>149</v>
      </c>
      <c r="H1163" s="18" t="str">
        <f>IFERROR(INDEX('المحافظات Governorates'!$E$2:$E$151,MATCH(D1163,'المحافظات Governorates'!$A$2:$A$151,0)),"")</f>
        <v>Ash-Shamli</v>
      </c>
      <c r="I1163" s="18" t="str">
        <f>IFERROR(INDEX('المناطق Regions'!$C$2:$C$15,MATCH(B1163,'المناطق Regions'!$A$2:$A$15,0)),"")</f>
        <v>Hail</v>
      </c>
      <c r="J1163" s="18" t="str">
        <f>F1163&amp;", "&amp;E1163&amp;", Saudi Arabia"</f>
        <v>الحفيرة, الشملى, Saudi Arabia</v>
      </c>
      <c r="K1163" s="18">
        <v>26.879765</v>
      </c>
      <c r="L1163" s="18">
        <v>40.324262</v>
      </c>
      <c r="M1163" s="18">
        <v>2000</v>
      </c>
      <c r="N1163" s="18" t="s">
        <v>562</v>
      </c>
    </row>
    <row r="1164" ht="15" customHeight="1" spans="1:14" x14ac:dyDescent="0.25">
      <c r="A1164" s="11" t="s">
        <v>2883</v>
      </c>
      <c r="B1164" s="11">
        <v>8</v>
      </c>
      <c r="C1164" s="12" t="s">
        <v>73</v>
      </c>
      <c r="D1164" s="11" t="s">
        <v>420</v>
      </c>
      <c r="E1164" s="12" t="s">
        <v>421</v>
      </c>
      <c r="F1164" s="12" t="s">
        <v>2884</v>
      </c>
      <c r="G1164" s="11" t="s">
        <v>113</v>
      </c>
      <c r="H1164" s="18" t="str">
        <f>IFERROR(INDEX('المحافظات Governorates'!$E$2:$E$151,MATCH(D1164,'المحافظات Governorates'!$A$2:$A$151,0)),"")</f>
        <v>Mawqaq</v>
      </c>
      <c r="I1164" s="18" t="str">
        <f>IFERROR(INDEX('المناطق Regions'!$C$2:$C$15,MATCH(B1164,'المناطق Regions'!$A$2:$A$15,0)),"")</f>
        <v>Hail</v>
      </c>
      <c r="J1164" s="18" t="str">
        <f>F1164&amp;", "&amp;E1164&amp;", Saudi Arabia"</f>
        <v>المحفر, موقق, Saudi Arabia</v>
      </c>
      <c r="K1164" s="18">
        <v>27.716634</v>
      </c>
      <c r="L1164" s="18">
        <v>40.652134</v>
      </c>
      <c r="M1164" s="18">
        <v>2000</v>
      </c>
      <c r="N1164" s="18" t="s">
        <v>562</v>
      </c>
    </row>
    <row r="1165" ht="15" customHeight="1" spans="1:14" x14ac:dyDescent="0.25">
      <c r="A1165" s="13" t="s">
        <v>2885</v>
      </c>
      <c r="B1165" s="13">
        <v>8</v>
      </c>
      <c r="C1165" s="14" t="s">
        <v>73</v>
      </c>
      <c r="D1165" s="13" t="s">
        <v>420</v>
      </c>
      <c r="E1165" s="14" t="s">
        <v>421</v>
      </c>
      <c r="F1165" s="14" t="s">
        <v>2886</v>
      </c>
      <c r="G1165" s="13" t="s">
        <v>113</v>
      </c>
      <c r="H1165" s="18" t="str">
        <f>IFERROR(INDEX('المحافظات Governorates'!$E$2:$E$151,MATCH(D1165,'المحافظات Governorates'!$A$2:$A$151,0)),"")</f>
        <v>Mawqaq</v>
      </c>
      <c r="I1165" s="18" t="str">
        <f>IFERROR(INDEX('المناطق Regions'!$C$2:$C$15,MATCH(B1165,'المناطق Regions'!$A$2:$A$15,0)),"")</f>
        <v>Hail</v>
      </c>
      <c r="J1165" s="18" t="str">
        <f>F1165&amp;", "&amp;E1165&amp;", Saudi Arabia"</f>
        <v>الحفير, موقق, Saudi Arabia</v>
      </c>
      <c r="K1165" s="18">
        <v>27.656389</v>
      </c>
      <c r="L1165" s="18">
        <v>41.293889</v>
      </c>
      <c r="M1165" s="18">
        <v>2000</v>
      </c>
      <c r="N1165" s="18" t="s">
        <v>562</v>
      </c>
    </row>
    <row r="1166" ht="15" customHeight="1" spans="1:14" x14ac:dyDescent="0.25">
      <c r="A1166" s="11" t="s">
        <v>2887</v>
      </c>
      <c r="B1166" s="11">
        <v>8</v>
      </c>
      <c r="C1166" s="12" t="s">
        <v>73</v>
      </c>
      <c r="D1166" s="11" t="s">
        <v>420</v>
      </c>
      <c r="E1166" s="12" t="s">
        <v>421</v>
      </c>
      <c r="F1166" s="12" t="s">
        <v>2888</v>
      </c>
      <c r="G1166" s="11" t="s">
        <v>113</v>
      </c>
      <c r="H1166" s="18" t="str">
        <f>IFERROR(INDEX('المحافظات Governorates'!$E$2:$E$151,MATCH(D1166,'المحافظات Governorates'!$A$2:$A$151,0)),"")</f>
        <v>Mawqaq</v>
      </c>
      <c r="I1166" s="18" t="str">
        <f>IFERROR(INDEX('المناطق Regions'!$C$2:$C$15,MATCH(B1166,'المناطق Regions'!$A$2:$A$15,0)),"")</f>
        <v>Hail</v>
      </c>
      <c r="J1166" s="18" t="str">
        <f>F1166&amp;", "&amp;E1166&amp;", Saudi Arabia"</f>
        <v>الشقيق, موقق, Saudi Arabia</v>
      </c>
      <c r="K1166" s="18">
        <v>27.161667</v>
      </c>
      <c r="L1166" s="18">
        <v>40.904444</v>
      </c>
      <c r="M1166" s="18">
        <v>2000</v>
      </c>
      <c r="N1166" s="18" t="s">
        <v>562</v>
      </c>
    </row>
    <row r="1167" ht="15" customHeight="1" spans="1:14" x14ac:dyDescent="0.25">
      <c r="A1167" s="13" t="s">
        <v>2889</v>
      </c>
      <c r="B1167" s="13">
        <v>8</v>
      </c>
      <c r="C1167" s="14" t="s">
        <v>73</v>
      </c>
      <c r="D1167" s="13" t="s">
        <v>420</v>
      </c>
      <c r="E1167" s="14" t="s">
        <v>421</v>
      </c>
      <c r="F1167" s="14" t="s">
        <v>2890</v>
      </c>
      <c r="G1167" s="13" t="s">
        <v>113</v>
      </c>
      <c r="H1167" s="18" t="str">
        <f>IFERROR(INDEX('المحافظات Governorates'!$E$2:$E$151,MATCH(D1167,'المحافظات Governorates'!$A$2:$A$151,0)),"")</f>
        <v>Mawqaq</v>
      </c>
      <c r="I1167" s="18" t="str">
        <f>IFERROR(INDEX('المناطق Regions'!$C$2:$C$15,MATCH(B1167,'المناطق Regions'!$A$2:$A$15,0)),"")</f>
        <v>Hail</v>
      </c>
      <c r="J1167" s="18" t="str">
        <f>F1167&amp;", "&amp;E1167&amp;", Saudi Arabia"</f>
        <v>دليهان, موقق, Saudi Arabia</v>
      </c>
      <c r="K1167" s="18">
        <v>27.287548</v>
      </c>
      <c r="L1167" s="18">
        <v>40.967607</v>
      </c>
      <c r="M1167" s="18">
        <v>2000</v>
      </c>
      <c r="N1167" s="18" t="s">
        <v>562</v>
      </c>
    </row>
    <row r="1168" ht="15" customHeight="1" spans="1:14" x14ac:dyDescent="0.25">
      <c r="A1168" s="11" t="s">
        <v>2891</v>
      </c>
      <c r="B1168" s="11">
        <v>8</v>
      </c>
      <c r="C1168" s="12" t="s">
        <v>73</v>
      </c>
      <c r="D1168" s="11" t="s">
        <v>420</v>
      </c>
      <c r="E1168" s="12" t="s">
        <v>421</v>
      </c>
      <c r="F1168" s="12" t="s">
        <v>2892</v>
      </c>
      <c r="G1168" s="11" t="s">
        <v>113</v>
      </c>
      <c r="H1168" s="18" t="str">
        <f>IFERROR(INDEX('المحافظات Governorates'!$E$2:$E$151,MATCH(D1168,'المحافظات Governorates'!$A$2:$A$151,0)),"")</f>
        <v>Mawqaq</v>
      </c>
      <c r="I1168" s="18" t="str">
        <f>IFERROR(INDEX('المناطق Regions'!$C$2:$C$15,MATCH(B1168,'المناطق Regions'!$A$2:$A$15,0)),"")</f>
        <v>Hail</v>
      </c>
      <c r="J1168" s="18" t="str">
        <f>F1168&amp;", "&amp;E1168&amp;", Saudi Arabia"</f>
        <v>الصنينا, موقق, Saudi Arabia</v>
      </c>
      <c r="K1168" s="18">
        <v>27.321426</v>
      </c>
      <c r="L1168" s="18">
        <v>41.059288</v>
      </c>
      <c r="M1168" s="18">
        <v>2000</v>
      </c>
      <c r="N1168" s="18" t="s">
        <v>562</v>
      </c>
    </row>
    <row r="1169" ht="15" customHeight="1" spans="1:14" x14ac:dyDescent="0.25">
      <c r="A1169" s="13" t="s">
        <v>2893</v>
      </c>
      <c r="B1169" s="13">
        <v>8</v>
      </c>
      <c r="C1169" s="14" t="s">
        <v>73</v>
      </c>
      <c r="D1169" s="13" t="s">
        <v>420</v>
      </c>
      <c r="E1169" s="14" t="s">
        <v>421</v>
      </c>
      <c r="F1169" s="14" t="s">
        <v>2894</v>
      </c>
      <c r="G1169" s="13" t="s">
        <v>113</v>
      </c>
      <c r="H1169" s="18" t="str">
        <f>IFERROR(INDEX('المحافظات Governorates'!$E$2:$E$151,MATCH(D1169,'المحافظات Governorates'!$A$2:$A$151,0)),"")</f>
        <v>Mawqaq</v>
      </c>
      <c r="I1169" s="18" t="str">
        <f>IFERROR(INDEX('المناطق Regions'!$C$2:$C$15,MATCH(B1169,'المناطق Regions'!$A$2:$A$15,0)),"")</f>
        <v>Hail</v>
      </c>
      <c r="J1169" s="18" t="str">
        <f>F1169&amp;", "&amp;E1169&amp;", Saudi Arabia"</f>
        <v>سعيدان, موقق, Saudi Arabia</v>
      </c>
      <c r="K1169" s="18">
        <v>27.485185</v>
      </c>
      <c r="L1169" s="18">
        <v>40.903748</v>
      </c>
      <c r="M1169" s="18">
        <v>2000</v>
      </c>
      <c r="N1169" s="18" t="s">
        <v>562</v>
      </c>
    </row>
    <row r="1170" ht="15" customHeight="1" spans="1:14" x14ac:dyDescent="0.25">
      <c r="A1170" s="11" t="s">
        <v>2895</v>
      </c>
      <c r="B1170" s="11">
        <v>8</v>
      </c>
      <c r="C1170" s="12" t="s">
        <v>73</v>
      </c>
      <c r="D1170" s="11" t="s">
        <v>420</v>
      </c>
      <c r="E1170" s="12" t="s">
        <v>421</v>
      </c>
      <c r="F1170" s="12" t="s">
        <v>2896</v>
      </c>
      <c r="G1170" s="11" t="s">
        <v>149</v>
      </c>
      <c r="H1170" s="18" t="str">
        <f>IFERROR(INDEX('المحافظات Governorates'!$E$2:$E$151,MATCH(D1170,'المحافظات Governorates'!$A$2:$A$151,0)),"")</f>
        <v>Mawqaq</v>
      </c>
      <c r="I1170" s="18" t="str">
        <f>IFERROR(INDEX('المناطق Regions'!$C$2:$C$15,MATCH(B1170,'المناطق Regions'!$A$2:$A$15,0)),"")</f>
        <v>Hail</v>
      </c>
      <c r="J1170" s="18" t="str">
        <f>F1170&amp;", "&amp;E1170&amp;", Saudi Arabia"</f>
        <v>العويد, موقق, Saudi Arabia</v>
      </c>
      <c r="K1170" s="18">
        <v>27.667506</v>
      </c>
      <c r="L1170" s="18">
        <v>40.22741</v>
      </c>
      <c r="M1170" s="18">
        <v>2000</v>
      </c>
      <c r="N1170" s="18" t="s">
        <v>562</v>
      </c>
    </row>
    <row r="1171" ht="15" customHeight="1" spans="1:14" x14ac:dyDescent="0.25">
      <c r="A1171" s="13" t="s">
        <v>2897</v>
      </c>
      <c r="B1171" s="13">
        <v>8</v>
      </c>
      <c r="C1171" s="14" t="s">
        <v>73</v>
      </c>
      <c r="D1171" s="13" t="s">
        <v>420</v>
      </c>
      <c r="E1171" s="14" t="s">
        <v>421</v>
      </c>
      <c r="F1171" s="14" t="s">
        <v>2898</v>
      </c>
      <c r="G1171" s="13" t="s">
        <v>113</v>
      </c>
      <c r="H1171" s="18" t="str">
        <f>IFERROR(INDEX('المحافظات Governorates'!$E$2:$E$151,MATCH(D1171,'المحافظات Governorates'!$A$2:$A$151,0)),"")</f>
        <v>Mawqaq</v>
      </c>
      <c r="I1171" s="18" t="str">
        <f>IFERROR(INDEX('المناطق Regions'!$C$2:$C$15,MATCH(B1171,'المناطق Regions'!$A$2:$A$15,0)),"")</f>
        <v>Hail</v>
      </c>
      <c r="J1171" s="18" t="str">
        <f>F1171&amp;", "&amp;E1171&amp;", Saudi Arabia"</f>
        <v>عقله بن جبرين, موقق, Saudi Arabia</v>
      </c>
      <c r="K1171" s="18">
        <v>27.509963</v>
      </c>
      <c r="L1171" s="18">
        <v>40.770776</v>
      </c>
      <c r="M1171" s="18">
        <v>95459</v>
      </c>
      <c r="N1171" s="18" t="s">
        <v>2899</v>
      </c>
    </row>
    <row r="1172" ht="15" customHeight="1" spans="1:14" x14ac:dyDescent="0.25">
      <c r="A1172" s="11" t="s">
        <v>2900</v>
      </c>
      <c r="B1172" s="11">
        <v>8</v>
      </c>
      <c r="C1172" s="12" t="s">
        <v>73</v>
      </c>
      <c r="D1172" s="11" t="s">
        <v>423</v>
      </c>
      <c r="E1172" s="12" t="s">
        <v>424</v>
      </c>
      <c r="F1172" s="12" t="s">
        <v>2901</v>
      </c>
      <c r="G1172" s="11" t="s">
        <v>149</v>
      </c>
      <c r="H1172" s="18" t="str">
        <f>IFERROR(INDEX('المحافظات Governorates'!$E$2:$E$151,MATCH(D1172,'المحافظات Governorates'!$A$2:$A$151,0)),"")</f>
        <v>Sumayra</v>
      </c>
      <c r="I1172" s="18" t="str">
        <f>IFERROR(INDEX('المناطق Regions'!$C$2:$C$15,MATCH(B1172,'المناطق Regions'!$A$2:$A$15,0)),"")</f>
        <v>Hail</v>
      </c>
      <c r="J1172" s="18" t="str">
        <f>F1172&amp;", "&amp;E1172&amp;", Saudi Arabia"</f>
        <v>شبريه, سميراء, Saudi Arabia</v>
      </c>
      <c r="K1172" s="18">
        <v>26.536164</v>
      </c>
      <c r="L1172" s="18">
        <v>42.148048</v>
      </c>
      <c r="M1172" s="18">
        <v>40000</v>
      </c>
      <c r="N1172" s="18" t="s">
        <v>1130</v>
      </c>
    </row>
    <row r="1173" ht="15" customHeight="1" spans="1:14" x14ac:dyDescent="0.25">
      <c r="A1173" s="13" t="s">
        <v>2902</v>
      </c>
      <c r="B1173" s="13">
        <v>8</v>
      </c>
      <c r="C1173" s="14" t="s">
        <v>73</v>
      </c>
      <c r="D1173" s="13" t="s">
        <v>423</v>
      </c>
      <c r="E1173" s="14" t="s">
        <v>424</v>
      </c>
      <c r="F1173" s="14" t="s">
        <v>2903</v>
      </c>
      <c r="G1173" s="13" t="s">
        <v>113</v>
      </c>
      <c r="H1173" s="18" t="str">
        <f>IFERROR(INDEX('المحافظات Governorates'!$E$2:$E$151,MATCH(D1173,'المحافظات Governorates'!$A$2:$A$151,0)),"")</f>
        <v>Sumayra</v>
      </c>
      <c r="I1173" s="18" t="str">
        <f>IFERROR(INDEX('المناطق Regions'!$C$2:$C$15,MATCH(B1173,'المناطق Regions'!$A$2:$A$15,0)),"")</f>
        <v>Hail</v>
      </c>
      <c r="J1173" s="18" t="str">
        <f>F1173&amp;", "&amp;E1173&amp;", Saudi Arabia"</f>
        <v>العظيم, سميراء, Saudi Arabia</v>
      </c>
      <c r="K1173" s="18">
        <v>26.59045</v>
      </c>
      <c r="L1173" s="18">
        <v>42.470893</v>
      </c>
      <c r="M1173" s="18">
        <v>2000</v>
      </c>
      <c r="N1173" s="18" t="s">
        <v>642</v>
      </c>
    </row>
    <row r="1174" ht="15" customHeight="1" spans="1:14" x14ac:dyDescent="0.25">
      <c r="A1174" s="11" t="s">
        <v>2904</v>
      </c>
      <c r="B1174" s="11">
        <v>8</v>
      </c>
      <c r="C1174" s="12" t="s">
        <v>73</v>
      </c>
      <c r="D1174" s="11" t="s">
        <v>423</v>
      </c>
      <c r="E1174" s="12" t="s">
        <v>424</v>
      </c>
      <c r="F1174" s="12" t="s">
        <v>2905</v>
      </c>
      <c r="G1174" s="11" t="s">
        <v>113</v>
      </c>
      <c r="H1174" s="18" t="str">
        <f>IFERROR(INDEX('المحافظات Governorates'!$E$2:$E$151,MATCH(D1174,'المحافظات Governorates'!$A$2:$A$151,0)),"")</f>
        <v>Sumayra</v>
      </c>
      <c r="I1174" s="18" t="str">
        <f>IFERROR(INDEX('المناطق Regions'!$C$2:$C$15,MATCH(B1174,'المناطق Regions'!$A$2:$A$15,0)),"")</f>
        <v>Hail</v>
      </c>
      <c r="J1174" s="18" t="str">
        <f>F1174&amp;", "&amp;E1174&amp;", Saudi Arabia"</f>
        <v>عقلة بن طوالة, سميراء, Saudi Arabia</v>
      </c>
      <c r="K1174" s="18">
        <v>26.536164</v>
      </c>
      <c r="L1174" s="18">
        <v>42.148048</v>
      </c>
      <c r="M1174" s="18">
        <v>40000</v>
      </c>
      <c r="N1174" s="18" t="s">
        <v>1130</v>
      </c>
    </row>
    <row r="1175" ht="15" customHeight="1" spans="1:14" x14ac:dyDescent="0.25">
      <c r="A1175" s="13" t="s">
        <v>2906</v>
      </c>
      <c r="B1175" s="13">
        <v>8</v>
      </c>
      <c r="C1175" s="14" t="s">
        <v>73</v>
      </c>
      <c r="D1175" s="13" t="s">
        <v>423</v>
      </c>
      <c r="E1175" s="14" t="s">
        <v>424</v>
      </c>
      <c r="F1175" s="14" t="s">
        <v>2907</v>
      </c>
      <c r="G1175" s="13" t="s">
        <v>113</v>
      </c>
      <c r="H1175" s="18" t="str">
        <f>IFERROR(INDEX('المحافظات Governorates'!$E$2:$E$151,MATCH(D1175,'المحافظات Governorates'!$A$2:$A$151,0)),"")</f>
        <v>Sumayra</v>
      </c>
      <c r="I1175" s="18" t="str">
        <f>IFERROR(INDEX('المناطق Regions'!$C$2:$C$15,MATCH(B1175,'المناطق Regions'!$A$2:$A$15,0)),"")</f>
        <v>Hail</v>
      </c>
      <c r="J1175" s="18" t="str">
        <f>F1175&amp;", "&amp;E1175&amp;", Saudi Arabia"</f>
        <v>عقلة بن دانى, سميراء, Saudi Arabia</v>
      </c>
      <c r="K1175" s="18">
        <v>26.789085</v>
      </c>
      <c r="L1175" s="18">
        <v>42.059382</v>
      </c>
      <c r="M1175" s="18">
        <v>2000</v>
      </c>
      <c r="N1175" s="18" t="s">
        <v>642</v>
      </c>
    </row>
    <row r="1176" ht="15" customHeight="1" spans="1:14" x14ac:dyDescent="0.25">
      <c r="A1176" s="11" t="s">
        <v>2908</v>
      </c>
      <c r="B1176" s="11">
        <v>8</v>
      </c>
      <c r="C1176" s="12" t="s">
        <v>73</v>
      </c>
      <c r="D1176" s="11" t="s">
        <v>423</v>
      </c>
      <c r="E1176" s="12" t="s">
        <v>424</v>
      </c>
      <c r="F1176" s="12" t="s">
        <v>2909</v>
      </c>
      <c r="G1176" s="11" t="s">
        <v>113</v>
      </c>
      <c r="H1176" s="18" t="str">
        <f>IFERROR(INDEX('المحافظات Governorates'!$E$2:$E$151,MATCH(D1176,'المحافظات Governorates'!$A$2:$A$151,0)),"")</f>
        <v>Sumayra</v>
      </c>
      <c r="I1176" s="18" t="str">
        <f>IFERROR(INDEX('المناطق Regions'!$C$2:$C$15,MATCH(B1176,'المناطق Regions'!$A$2:$A$15,0)),"")</f>
        <v>Hail</v>
      </c>
      <c r="J1176" s="18" t="str">
        <f>F1176&amp;", "&amp;E1176&amp;", Saudi Arabia"</f>
        <v>غمره, سميراء, Saudi Arabia</v>
      </c>
      <c r="K1176" s="18">
        <v>26.536164</v>
      </c>
      <c r="L1176" s="18">
        <v>42.148048</v>
      </c>
      <c r="M1176" s="18">
        <v>40000</v>
      </c>
      <c r="N1176" s="18" t="s">
        <v>1130</v>
      </c>
    </row>
    <row r="1177" ht="15" customHeight="1" spans="1:14" x14ac:dyDescent="0.25">
      <c r="A1177" s="13" t="s">
        <v>2910</v>
      </c>
      <c r="B1177" s="13">
        <v>8</v>
      </c>
      <c r="C1177" s="14" t="s">
        <v>73</v>
      </c>
      <c r="D1177" s="13" t="s">
        <v>423</v>
      </c>
      <c r="E1177" s="14" t="s">
        <v>424</v>
      </c>
      <c r="F1177" s="14" t="s">
        <v>2911</v>
      </c>
      <c r="G1177" s="13" t="s">
        <v>149</v>
      </c>
      <c r="H1177" s="18" t="str">
        <f>IFERROR(INDEX('المحافظات Governorates'!$E$2:$E$151,MATCH(D1177,'المحافظات Governorates'!$A$2:$A$151,0)),"")</f>
        <v>Sumayra</v>
      </c>
      <c r="I1177" s="18" t="str">
        <f>IFERROR(INDEX('المناطق Regions'!$C$2:$C$15,MATCH(B1177,'المناطق Regions'!$A$2:$A$15,0)),"")</f>
        <v>Hail</v>
      </c>
      <c r="J1177" s="18" t="str">
        <f>F1177&amp;", "&amp;E1177&amp;", Saudi Arabia"</f>
        <v>غسل, سميراء, Saudi Arabia</v>
      </c>
      <c r="K1177" s="18">
        <v>26.598923</v>
      </c>
      <c r="L1177" s="18">
        <v>42.030774</v>
      </c>
      <c r="M1177" s="18">
        <v>2000</v>
      </c>
      <c r="N1177" s="18" t="s">
        <v>642</v>
      </c>
    </row>
    <row r="1178" ht="15" customHeight="1" spans="1:14" x14ac:dyDescent="0.25">
      <c r="A1178" s="11" t="s">
        <v>2912</v>
      </c>
      <c r="B1178" s="11">
        <v>8</v>
      </c>
      <c r="C1178" s="12" t="s">
        <v>73</v>
      </c>
      <c r="D1178" s="11" t="s">
        <v>423</v>
      </c>
      <c r="E1178" s="12" t="s">
        <v>424</v>
      </c>
      <c r="F1178" s="12" t="s">
        <v>2913</v>
      </c>
      <c r="G1178" s="11" t="s">
        <v>149</v>
      </c>
      <c r="H1178" s="18" t="str">
        <f>IFERROR(INDEX('المحافظات Governorates'!$E$2:$E$151,MATCH(D1178,'المحافظات Governorates'!$A$2:$A$151,0)),"")</f>
        <v>Sumayra</v>
      </c>
      <c r="I1178" s="18" t="str">
        <f>IFERROR(INDEX('المناطق Regions'!$C$2:$C$15,MATCH(B1178,'المناطق Regions'!$A$2:$A$15,0)),"")</f>
        <v>Hail</v>
      </c>
      <c r="J1178" s="18" t="str">
        <f>F1178&amp;", "&amp;E1178&amp;", Saudi Arabia"</f>
        <v>كتيفة, سميراء, Saudi Arabia</v>
      </c>
      <c r="K1178" s="18">
        <v>26.262207</v>
      </c>
      <c r="L1178" s="18">
        <v>41.909816</v>
      </c>
      <c r="M1178" s="18">
        <v>2000</v>
      </c>
      <c r="N1178" s="18" t="s">
        <v>642</v>
      </c>
    </row>
    <row r="1179" ht="15" customHeight="1" spans="1:14" x14ac:dyDescent="0.25">
      <c r="A1179" s="13" t="s">
        <v>2914</v>
      </c>
      <c r="B1179" s="13">
        <v>8</v>
      </c>
      <c r="C1179" s="14" t="s">
        <v>73</v>
      </c>
      <c r="D1179" s="13" t="s">
        <v>423</v>
      </c>
      <c r="E1179" s="14" t="s">
        <v>424</v>
      </c>
      <c r="F1179" s="14" t="s">
        <v>2915</v>
      </c>
      <c r="G1179" s="13" t="s">
        <v>149</v>
      </c>
      <c r="H1179" s="18" t="str">
        <f>IFERROR(INDEX('المحافظات Governorates'!$E$2:$E$151,MATCH(D1179,'المحافظات Governorates'!$A$2:$A$151,0)),"")</f>
        <v>Sumayra</v>
      </c>
      <c r="I1179" s="18" t="str">
        <f>IFERROR(INDEX('المناطق Regions'!$C$2:$C$15,MATCH(B1179,'المناطق Regions'!$A$2:$A$15,0)),"")</f>
        <v>Hail</v>
      </c>
      <c r="J1179" s="18" t="str">
        <f>F1179&amp;", "&amp;E1179&amp;", Saudi Arabia"</f>
        <v>الجابرية, سميراء, Saudi Arabia</v>
      </c>
      <c r="K1179" s="18">
        <v>26.269723</v>
      </c>
      <c r="L1179" s="18">
        <v>42.167778</v>
      </c>
      <c r="M1179" s="18">
        <v>2000</v>
      </c>
      <c r="N1179" s="18" t="s">
        <v>642</v>
      </c>
    </row>
    <row r="1180" ht="15" customHeight="1" spans="1:14" x14ac:dyDescent="0.25">
      <c r="A1180" s="11" t="s">
        <v>2916</v>
      </c>
      <c r="B1180" s="11">
        <v>8</v>
      </c>
      <c r="C1180" s="12" t="s">
        <v>73</v>
      </c>
      <c r="D1180" s="11" t="s">
        <v>423</v>
      </c>
      <c r="E1180" s="12" t="s">
        <v>424</v>
      </c>
      <c r="F1180" s="12" t="s">
        <v>2917</v>
      </c>
      <c r="G1180" s="11" t="s">
        <v>149</v>
      </c>
      <c r="H1180" s="18" t="str">
        <f>IFERROR(INDEX('المحافظات Governorates'!$E$2:$E$151,MATCH(D1180,'المحافظات Governorates'!$A$2:$A$151,0)),"")</f>
        <v>Sumayra</v>
      </c>
      <c r="I1180" s="18" t="str">
        <f>IFERROR(INDEX('المناطق Regions'!$C$2:$C$15,MATCH(B1180,'المناطق Regions'!$A$2:$A$15,0)),"")</f>
        <v>Hail</v>
      </c>
      <c r="J1180" s="18" t="str">
        <f>F1180&amp;", "&amp;E1180&amp;", Saudi Arabia"</f>
        <v>القصير, سميراء, Saudi Arabia</v>
      </c>
      <c r="K1180" s="18">
        <v>26.668636</v>
      </c>
      <c r="L1180" s="18">
        <v>41.95162</v>
      </c>
      <c r="M1180" s="18">
        <v>2000</v>
      </c>
      <c r="N1180" s="18" t="s">
        <v>642</v>
      </c>
    </row>
    <row r="1181" ht="15" customHeight="1" spans="1:14" x14ac:dyDescent="0.25">
      <c r="A1181" s="13" t="s">
        <v>2918</v>
      </c>
      <c r="B1181" s="13">
        <v>8</v>
      </c>
      <c r="C1181" s="14" t="s">
        <v>73</v>
      </c>
      <c r="D1181" s="13" t="s">
        <v>423</v>
      </c>
      <c r="E1181" s="14" t="s">
        <v>424</v>
      </c>
      <c r="F1181" s="14" t="s">
        <v>2919</v>
      </c>
      <c r="G1181" s="13" t="s">
        <v>113</v>
      </c>
      <c r="H1181" s="18" t="str">
        <f>IFERROR(INDEX('المحافظات Governorates'!$E$2:$E$151,MATCH(D1181,'المحافظات Governorates'!$A$2:$A$151,0)),"")</f>
        <v>Sumayra</v>
      </c>
      <c r="I1181" s="18" t="str">
        <f>IFERROR(INDEX('المناطق Regions'!$C$2:$C$15,MATCH(B1181,'المناطق Regions'!$A$2:$A$15,0)),"")</f>
        <v>Hail</v>
      </c>
      <c r="J1181" s="18" t="str">
        <f>F1181&amp;", "&amp;E1181&amp;", Saudi Arabia"</f>
        <v>المضيح, سميراء, Saudi Arabia</v>
      </c>
      <c r="K1181" s="18">
        <v>26.890365</v>
      </c>
      <c r="L1181" s="18">
        <v>42.087169</v>
      </c>
      <c r="M1181" s="18">
        <v>2000</v>
      </c>
      <c r="N1181" s="18" t="s">
        <v>642</v>
      </c>
    </row>
    <row r="1182" ht="15" customHeight="1" spans="1:14" x14ac:dyDescent="0.25">
      <c r="A1182" s="11" t="s">
        <v>2920</v>
      </c>
      <c r="B1182" s="11">
        <v>8</v>
      </c>
      <c r="C1182" s="12" t="s">
        <v>73</v>
      </c>
      <c r="D1182" s="11" t="s">
        <v>423</v>
      </c>
      <c r="E1182" s="12" t="s">
        <v>424</v>
      </c>
      <c r="F1182" s="12" t="s">
        <v>2921</v>
      </c>
      <c r="G1182" s="11" t="s">
        <v>149</v>
      </c>
      <c r="H1182" s="18" t="str">
        <f>IFERROR(INDEX('المحافظات Governorates'!$E$2:$E$151,MATCH(D1182,'المحافظات Governorates'!$A$2:$A$151,0)),"")</f>
        <v>Sumayra</v>
      </c>
      <c r="I1182" s="18" t="str">
        <f>IFERROR(INDEX('المناطق Regions'!$C$2:$C$15,MATCH(B1182,'المناطق Regions'!$A$2:$A$15,0)),"")</f>
        <v>Hail</v>
      </c>
      <c r="J1182" s="18" t="str">
        <f>F1182&amp;", "&amp;E1182&amp;", Saudi Arabia"</f>
        <v>الصفراء, سميراء, Saudi Arabia</v>
      </c>
      <c r="K1182" s="18">
        <v>26.841446</v>
      </c>
      <c r="L1182" s="18">
        <v>42.160547</v>
      </c>
      <c r="M1182" s="18">
        <v>2000</v>
      </c>
      <c r="N1182" s="18" t="s">
        <v>642</v>
      </c>
    </row>
    <row r="1183" ht="15" customHeight="1" spans="1:14" x14ac:dyDescent="0.25">
      <c r="A1183" s="13" t="s">
        <v>2922</v>
      </c>
      <c r="B1183" s="13">
        <v>8</v>
      </c>
      <c r="C1183" s="14" t="s">
        <v>73</v>
      </c>
      <c r="D1183" s="13" t="s">
        <v>426</v>
      </c>
      <c r="E1183" s="14" t="s">
        <v>427</v>
      </c>
      <c r="F1183" s="14" t="s">
        <v>2923</v>
      </c>
      <c r="G1183" s="13" t="s">
        <v>113</v>
      </c>
      <c r="H1183" s="18" t="str">
        <f>IFERROR(INDEX('المحافظات Governorates'!$E$2:$E$151,MATCH(D1183,'المحافظات Governorates'!$A$2:$A$151,0)),"")</f>
        <v>Al-Hait</v>
      </c>
      <c r="I1183" s="18" t="str">
        <f>IFERROR(INDEX('المناطق Regions'!$C$2:$C$15,MATCH(B1183,'المناطق Regions'!$A$2:$A$15,0)),"")</f>
        <v>Hail</v>
      </c>
      <c r="J1183" s="18" t="str">
        <f>F1183&amp;", "&amp;E1183&amp;", Saudi Arabia"</f>
        <v>الحليفه السفلى, الحائط, Saudi Arabia</v>
      </c>
      <c r="K1183" s="18">
        <v>25.994754</v>
      </c>
      <c r="L1183" s="18">
        <v>40.816635</v>
      </c>
      <c r="M1183" s="18">
        <v>2000</v>
      </c>
      <c r="N1183" s="18" t="s">
        <v>562</v>
      </c>
    </row>
    <row r="1184" ht="15" customHeight="1" spans="1:14" x14ac:dyDescent="0.25">
      <c r="A1184" s="11" t="s">
        <v>2924</v>
      </c>
      <c r="B1184" s="11">
        <v>8</v>
      </c>
      <c r="C1184" s="12" t="s">
        <v>73</v>
      </c>
      <c r="D1184" s="11" t="s">
        <v>426</v>
      </c>
      <c r="E1184" s="12" t="s">
        <v>427</v>
      </c>
      <c r="F1184" s="12" t="s">
        <v>2925</v>
      </c>
      <c r="G1184" s="11" t="s">
        <v>113</v>
      </c>
      <c r="H1184" s="18" t="str">
        <f>IFERROR(INDEX('المحافظات Governorates'!$E$2:$E$151,MATCH(D1184,'المحافظات Governorates'!$A$2:$A$151,0)),"")</f>
        <v>Al-Hait</v>
      </c>
      <c r="I1184" s="18" t="str">
        <f>IFERROR(INDEX('المناطق Regions'!$C$2:$C$15,MATCH(B1184,'المناطق Regions'!$A$2:$A$15,0)),"")</f>
        <v>Hail</v>
      </c>
      <c r="J1184" s="18" t="str">
        <f>F1184&amp;", "&amp;E1184&amp;", Saudi Arabia"</f>
        <v>انبوان, الحائط, Saudi Arabia</v>
      </c>
      <c r="K1184" s="18">
        <v>26.41108</v>
      </c>
      <c r="L1184" s="18">
        <v>40.547971</v>
      </c>
      <c r="M1184" s="18">
        <v>2000</v>
      </c>
      <c r="N1184" s="18" t="s">
        <v>562</v>
      </c>
    </row>
    <row r="1185" ht="15" customHeight="1" spans="1:14" x14ac:dyDescent="0.25">
      <c r="A1185" s="13" t="s">
        <v>2926</v>
      </c>
      <c r="B1185" s="13">
        <v>8</v>
      </c>
      <c r="C1185" s="14" t="s">
        <v>73</v>
      </c>
      <c r="D1185" s="13" t="s">
        <v>426</v>
      </c>
      <c r="E1185" s="14" t="s">
        <v>427</v>
      </c>
      <c r="F1185" s="14" t="s">
        <v>2927</v>
      </c>
      <c r="G1185" s="13" t="s">
        <v>149</v>
      </c>
      <c r="H1185" s="18" t="str">
        <f>IFERROR(INDEX('المحافظات Governorates'!$E$2:$E$151,MATCH(D1185,'المحافظات Governorates'!$A$2:$A$151,0)),"")</f>
        <v>Al-Hait</v>
      </c>
      <c r="I1185" s="18" t="str">
        <f>IFERROR(INDEX('المناطق Regions'!$C$2:$C$15,MATCH(B1185,'المناطق Regions'!$A$2:$A$15,0)),"")</f>
        <v>Hail</v>
      </c>
      <c r="J1185" s="18" t="str">
        <f>F1185&amp;", "&amp;E1185&amp;", Saudi Arabia"</f>
        <v>الحليفه العليا, الحائط, Saudi Arabia</v>
      </c>
      <c r="K1185" s="18">
        <v>25.941986</v>
      </c>
      <c r="L1185" s="18">
        <v>40.736779</v>
      </c>
      <c r="M1185" s="18">
        <v>2000</v>
      </c>
      <c r="N1185" s="18" t="s">
        <v>562</v>
      </c>
    </row>
    <row r="1186" ht="15" customHeight="1" spans="1:14" x14ac:dyDescent="0.25">
      <c r="A1186" s="11" t="s">
        <v>2928</v>
      </c>
      <c r="B1186" s="11">
        <v>8</v>
      </c>
      <c r="C1186" s="12" t="s">
        <v>73</v>
      </c>
      <c r="D1186" s="11" t="s">
        <v>426</v>
      </c>
      <c r="E1186" s="12" t="s">
        <v>427</v>
      </c>
      <c r="F1186" s="12" t="s">
        <v>2929</v>
      </c>
      <c r="G1186" s="11" t="s">
        <v>113</v>
      </c>
      <c r="H1186" s="18" t="str">
        <f>IFERROR(INDEX('المحافظات Governorates'!$E$2:$E$151,MATCH(D1186,'المحافظات Governorates'!$A$2:$A$151,0)),"")</f>
        <v>Al-Hait</v>
      </c>
      <c r="I1186" s="18" t="str">
        <f>IFERROR(INDEX('المناطق Regions'!$C$2:$C$15,MATCH(B1186,'المناطق Regions'!$A$2:$A$15,0)),"")</f>
        <v>Hail</v>
      </c>
      <c r="J1186" s="18" t="str">
        <f>F1186&amp;", "&amp;E1186&amp;", Saudi Arabia"</f>
        <v>صفيط, الحائط, Saudi Arabia</v>
      </c>
      <c r="K1186" s="18">
        <v>25.615529</v>
      </c>
      <c r="L1186" s="18">
        <v>40.635645</v>
      </c>
      <c r="M1186" s="18">
        <v>2000</v>
      </c>
      <c r="N1186" s="18" t="s">
        <v>562</v>
      </c>
    </row>
    <row r="1187" ht="15" customHeight="1" spans="1:14" x14ac:dyDescent="0.25">
      <c r="A1187" s="13" t="s">
        <v>2930</v>
      </c>
      <c r="B1187" s="13">
        <v>8</v>
      </c>
      <c r="C1187" s="14" t="s">
        <v>73</v>
      </c>
      <c r="D1187" s="13" t="s">
        <v>426</v>
      </c>
      <c r="E1187" s="14" t="s">
        <v>427</v>
      </c>
      <c r="F1187" s="14" t="s">
        <v>2931</v>
      </c>
      <c r="G1187" s="13" t="s">
        <v>113</v>
      </c>
      <c r="H1187" s="18" t="str">
        <f>IFERROR(INDEX('المحافظات Governorates'!$E$2:$E$151,MATCH(D1187,'المحافظات Governorates'!$A$2:$A$151,0)),"")</f>
        <v>Al-Hait</v>
      </c>
      <c r="I1187" s="18" t="str">
        <f>IFERROR(INDEX('المناطق Regions'!$C$2:$C$15,MATCH(B1187,'المناطق Regions'!$A$2:$A$15,0)),"")</f>
        <v>Hail</v>
      </c>
      <c r="J1187" s="18" t="str">
        <f>F1187&amp;", "&amp;E1187&amp;", Saudi Arabia"</f>
        <v>فيضه اثقب, الحائط, Saudi Arabia</v>
      </c>
      <c r="K1187" s="18">
        <v>26.040618</v>
      </c>
      <c r="L1187" s="18">
        <v>40.622217</v>
      </c>
      <c r="M1187" s="18">
        <v>2000</v>
      </c>
      <c r="N1187" s="18" t="s">
        <v>562</v>
      </c>
    </row>
    <row r="1188" ht="15" customHeight="1" spans="1:14" x14ac:dyDescent="0.25">
      <c r="A1188" s="11" t="s">
        <v>2932</v>
      </c>
      <c r="B1188" s="11">
        <v>8</v>
      </c>
      <c r="C1188" s="12" t="s">
        <v>73</v>
      </c>
      <c r="D1188" s="11" t="s">
        <v>426</v>
      </c>
      <c r="E1188" s="12" t="s">
        <v>427</v>
      </c>
      <c r="F1188" s="12" t="s">
        <v>2933</v>
      </c>
      <c r="G1188" s="11" t="s">
        <v>113</v>
      </c>
      <c r="H1188" s="18" t="str">
        <f>IFERROR(INDEX('المحافظات Governorates'!$E$2:$E$151,MATCH(D1188,'المحافظات Governorates'!$A$2:$A$151,0)),"")</f>
        <v>Al-Hait</v>
      </c>
      <c r="I1188" s="18" t="str">
        <f>IFERROR(INDEX('المناطق Regions'!$C$2:$C$15,MATCH(B1188,'المناطق Regions'!$A$2:$A$15,0)),"")</f>
        <v>Hail</v>
      </c>
      <c r="J1188" s="18" t="str">
        <f>F1188&amp;", "&amp;E1188&amp;", Saudi Arabia"</f>
        <v>الخفيج, الحائط, Saudi Arabia</v>
      </c>
      <c r="K1188" s="18">
        <v>25.875028</v>
      </c>
      <c r="L1188" s="18">
        <v>40.741826</v>
      </c>
      <c r="M1188" s="18">
        <v>2000</v>
      </c>
      <c r="N1188" s="18" t="s">
        <v>562</v>
      </c>
    </row>
    <row r="1189" ht="15" customHeight="1" spans="1:14" x14ac:dyDescent="0.25">
      <c r="A1189" s="13" t="s">
        <v>2934</v>
      </c>
      <c r="B1189" s="13">
        <v>8</v>
      </c>
      <c r="C1189" s="14" t="s">
        <v>73</v>
      </c>
      <c r="D1189" s="13" t="s">
        <v>426</v>
      </c>
      <c r="E1189" s="14" t="s">
        <v>427</v>
      </c>
      <c r="F1189" s="14" t="s">
        <v>2935</v>
      </c>
      <c r="G1189" s="13" t="s">
        <v>113</v>
      </c>
      <c r="H1189" s="18" t="str">
        <f>IFERROR(INDEX('المحافظات Governorates'!$E$2:$E$151,MATCH(D1189,'المحافظات Governorates'!$A$2:$A$151,0)),"")</f>
        <v>Al-Hait</v>
      </c>
      <c r="I1189" s="18" t="str">
        <f>IFERROR(INDEX('المناطق Regions'!$C$2:$C$15,MATCH(B1189,'المناطق Regions'!$A$2:$A$15,0)),"")</f>
        <v>Hail</v>
      </c>
      <c r="J1189" s="18" t="str">
        <f>F1189&amp;", "&amp;E1189&amp;", Saudi Arabia"</f>
        <v>الشويمس, الحائط, Saudi Arabia</v>
      </c>
      <c r="K1189" s="18">
        <v>26.15501</v>
      </c>
      <c r="L1189" s="18">
        <v>40.275571</v>
      </c>
      <c r="M1189" s="18">
        <v>2000</v>
      </c>
      <c r="N1189" s="18" t="s">
        <v>562</v>
      </c>
    </row>
    <row r="1190" ht="15" customHeight="1" spans="1:14" x14ac:dyDescent="0.25">
      <c r="A1190" s="11" t="s">
        <v>2936</v>
      </c>
      <c r="B1190" s="11">
        <v>8</v>
      </c>
      <c r="C1190" s="12" t="s">
        <v>73</v>
      </c>
      <c r="D1190" s="11" t="s">
        <v>426</v>
      </c>
      <c r="E1190" s="12" t="s">
        <v>427</v>
      </c>
      <c r="F1190" s="12" t="s">
        <v>2937</v>
      </c>
      <c r="G1190" s="11" t="s">
        <v>113</v>
      </c>
      <c r="H1190" s="18" t="str">
        <f>IFERROR(INDEX('المحافظات Governorates'!$E$2:$E$151,MATCH(D1190,'المحافظات Governorates'!$A$2:$A$151,0)),"")</f>
        <v>Al-Hait</v>
      </c>
      <c r="I1190" s="18" t="str">
        <f>IFERROR(INDEX('المناطق Regions'!$C$2:$C$15,MATCH(B1190,'المناطق Regions'!$A$2:$A$15,0)),"")</f>
        <v>Hail</v>
      </c>
      <c r="J1190" s="18" t="str">
        <f>F1190&amp;", "&amp;E1190&amp;", Saudi Arabia"</f>
        <v>الدابيه, الحائط, Saudi Arabia</v>
      </c>
      <c r="K1190" s="18">
        <v>25.790499</v>
      </c>
      <c r="L1190" s="18">
        <v>40.600019</v>
      </c>
      <c r="M1190" s="18">
        <v>2000</v>
      </c>
      <c r="N1190" s="18" t="s">
        <v>562</v>
      </c>
    </row>
    <row r="1191" ht="15" customHeight="1" spans="1:14" x14ac:dyDescent="0.25">
      <c r="A1191" s="13" t="s">
        <v>2938</v>
      </c>
      <c r="B1191" s="13">
        <v>8</v>
      </c>
      <c r="C1191" s="14" t="s">
        <v>73</v>
      </c>
      <c r="D1191" s="13" t="s">
        <v>426</v>
      </c>
      <c r="E1191" s="14" t="s">
        <v>427</v>
      </c>
      <c r="F1191" s="14" t="s">
        <v>2939</v>
      </c>
      <c r="G1191" s="13" t="s">
        <v>113</v>
      </c>
      <c r="H1191" s="18" t="str">
        <f>IFERROR(INDEX('المحافظات Governorates'!$E$2:$E$151,MATCH(D1191,'المحافظات Governorates'!$A$2:$A$151,0)),"")</f>
        <v>Al-Hait</v>
      </c>
      <c r="I1191" s="18" t="str">
        <f>IFERROR(INDEX('المناطق Regions'!$C$2:$C$15,MATCH(B1191,'المناطق Regions'!$A$2:$A$15,0)),"")</f>
        <v>Hail</v>
      </c>
      <c r="J1191" s="18" t="str">
        <f>F1191&amp;", "&amp;E1191&amp;", Saudi Arabia"</f>
        <v>المرير, الحائط, Saudi Arabia</v>
      </c>
      <c r="K1191" s="18">
        <v>25.512196</v>
      </c>
      <c r="L1191" s="18">
        <v>40.334347</v>
      </c>
      <c r="M1191" s="18">
        <v>2000</v>
      </c>
      <c r="N1191" s="18" t="s">
        <v>562</v>
      </c>
    </row>
    <row r="1192" ht="15" customHeight="1" spans="1:14" x14ac:dyDescent="0.25">
      <c r="A1192" s="11" t="s">
        <v>2940</v>
      </c>
      <c r="B1192" s="11">
        <v>8</v>
      </c>
      <c r="C1192" s="12" t="s">
        <v>73</v>
      </c>
      <c r="D1192" s="11" t="s">
        <v>426</v>
      </c>
      <c r="E1192" s="12" t="s">
        <v>427</v>
      </c>
      <c r="F1192" s="12" t="s">
        <v>2941</v>
      </c>
      <c r="G1192" s="11" t="s">
        <v>113</v>
      </c>
      <c r="H1192" s="18" t="str">
        <f>IFERROR(INDEX('المحافظات Governorates'!$E$2:$E$151,MATCH(D1192,'المحافظات Governorates'!$A$2:$A$151,0)),"")</f>
        <v>Al-Hait</v>
      </c>
      <c r="I1192" s="18" t="str">
        <f>IFERROR(INDEX('المناطق Regions'!$C$2:$C$15,MATCH(B1192,'المناطق Regions'!$A$2:$A$15,0)),"")</f>
        <v>Hail</v>
      </c>
      <c r="J1192" s="18" t="str">
        <f>F1192&amp;", "&amp;E1192&amp;", Saudi Arabia"</f>
        <v>روض بن هادى, الحائط, Saudi Arabia</v>
      </c>
      <c r="K1192" s="18">
        <v>25.950147</v>
      </c>
      <c r="L1192" s="18">
        <v>40.511581</v>
      </c>
      <c r="M1192" s="18">
        <v>107531</v>
      </c>
      <c r="N1192" s="18" t="s">
        <v>2724</v>
      </c>
    </row>
    <row r="1193" ht="15" customHeight="1" spans="1:14" x14ac:dyDescent="0.25">
      <c r="A1193" s="13" t="s">
        <v>2942</v>
      </c>
      <c r="B1193" s="13">
        <v>8</v>
      </c>
      <c r="C1193" s="14" t="s">
        <v>73</v>
      </c>
      <c r="D1193" s="13" t="s">
        <v>417</v>
      </c>
      <c r="E1193" s="14" t="s">
        <v>418</v>
      </c>
      <c r="F1193" s="14" t="s">
        <v>2943</v>
      </c>
      <c r="G1193" s="13" t="s">
        <v>113</v>
      </c>
      <c r="H1193" s="18" t="str">
        <f>IFERROR(INDEX('المحافظات Governorates'!$E$2:$E$151,MATCH(D1193,'المحافظات Governorates'!$A$2:$A$151,0)),"")</f>
        <v>Ash-Shamli</v>
      </c>
      <c r="I1193" s="18" t="str">
        <f>IFERROR(INDEX('المناطق Regions'!$C$2:$C$15,MATCH(B1193,'المناطق Regions'!$A$2:$A$15,0)),"")</f>
        <v>Hail</v>
      </c>
      <c r="J1193" s="18" t="str">
        <f>F1193&amp;", "&amp;E1193&amp;", Saudi Arabia"</f>
        <v>ضرغط, الشملى, Saudi Arabia</v>
      </c>
      <c r="K1193" s="18">
        <v>26.531168</v>
      </c>
      <c r="L1193" s="18">
        <v>40.542217</v>
      </c>
      <c r="M1193" s="18">
        <v>2000</v>
      </c>
      <c r="N1193" s="18" t="s">
        <v>562</v>
      </c>
    </row>
    <row r="1194" ht="15" customHeight="1" spans="1:14" x14ac:dyDescent="0.25">
      <c r="A1194" s="11" t="s">
        <v>2944</v>
      </c>
      <c r="B1194" s="11">
        <v>8</v>
      </c>
      <c r="C1194" s="12" t="s">
        <v>73</v>
      </c>
      <c r="D1194" s="11" t="s">
        <v>426</v>
      </c>
      <c r="E1194" s="12" t="s">
        <v>427</v>
      </c>
      <c r="F1194" s="12" t="s">
        <v>2945</v>
      </c>
      <c r="G1194" s="11" t="s">
        <v>113</v>
      </c>
      <c r="H1194" s="18" t="str">
        <f>IFERROR(INDEX('المحافظات Governorates'!$E$2:$E$151,MATCH(D1194,'المحافظات Governorates'!$A$2:$A$151,0)),"")</f>
        <v>Al-Hait</v>
      </c>
      <c r="I1194" s="18" t="str">
        <f>IFERROR(INDEX('المناطق Regions'!$C$2:$C$15,MATCH(B1194,'المناطق Regions'!$A$2:$A$15,0)),"")</f>
        <v>Hail</v>
      </c>
      <c r="J1194" s="18" t="str">
        <f>F1194&amp;", "&amp;E1194&amp;", Saudi Arabia"</f>
        <v>ضريغط, الحائط, Saudi Arabia</v>
      </c>
      <c r="K1194" s="18">
        <v>26.488358</v>
      </c>
      <c r="L1194" s="18">
        <v>40.598077</v>
      </c>
      <c r="M1194" s="18">
        <v>2000</v>
      </c>
      <c r="N1194" s="18" t="s">
        <v>562</v>
      </c>
    </row>
    <row r="1195" ht="15" customHeight="1" spans="1:14" x14ac:dyDescent="0.25">
      <c r="A1195" s="13" t="s">
        <v>2946</v>
      </c>
      <c r="B1195" s="13">
        <v>8</v>
      </c>
      <c r="C1195" s="14" t="s">
        <v>73</v>
      </c>
      <c r="D1195" s="13" t="s">
        <v>426</v>
      </c>
      <c r="E1195" s="14" t="s">
        <v>427</v>
      </c>
      <c r="F1195" s="14" t="s">
        <v>2947</v>
      </c>
      <c r="G1195" s="13" t="s">
        <v>113</v>
      </c>
      <c r="H1195" s="18" t="str">
        <f>IFERROR(INDEX('المحافظات Governorates'!$E$2:$E$151,MATCH(D1195,'المحافظات Governorates'!$A$2:$A$151,0)),"")</f>
        <v>Al-Hait</v>
      </c>
      <c r="I1195" s="18" t="str">
        <f>IFERROR(INDEX('المناطق Regions'!$C$2:$C$15,MATCH(B1195,'المناطق Regions'!$A$2:$A$15,0)),"")</f>
        <v>Hail</v>
      </c>
      <c r="J1195" s="18" t="str">
        <f>F1195&amp;", "&amp;E1195&amp;", Saudi Arabia"</f>
        <v>بدع بن خلف, الحائط, Saudi Arabia</v>
      </c>
      <c r="K1195" s="18">
        <v>25.70958</v>
      </c>
      <c r="L1195" s="18">
        <v>40.37746</v>
      </c>
      <c r="M1195" s="18">
        <v>2000</v>
      </c>
      <c r="N1195" s="18" t="s">
        <v>562</v>
      </c>
    </row>
    <row r="1196" ht="15" customHeight="1" spans="1:14" x14ac:dyDescent="0.25">
      <c r="A1196" s="11" t="s">
        <v>2948</v>
      </c>
      <c r="B1196" s="11">
        <v>8</v>
      </c>
      <c r="C1196" s="12" t="s">
        <v>73</v>
      </c>
      <c r="D1196" s="11" t="s">
        <v>426</v>
      </c>
      <c r="E1196" s="12" t="s">
        <v>427</v>
      </c>
      <c r="F1196" s="12" t="s">
        <v>2949</v>
      </c>
      <c r="G1196" s="11" t="s">
        <v>149</v>
      </c>
      <c r="H1196" s="18" t="str">
        <f>IFERROR(INDEX('المحافظات Governorates'!$E$2:$E$151,MATCH(D1196,'المحافظات Governorates'!$A$2:$A$151,0)),"")</f>
        <v>Al-Hait</v>
      </c>
      <c r="I1196" s="18" t="str">
        <f>IFERROR(INDEX('المناطق Regions'!$C$2:$C$15,MATCH(B1196,'المناطق Regions'!$A$2:$A$15,0)),"")</f>
        <v>Hail</v>
      </c>
      <c r="J1196" s="18" t="str">
        <f>F1196&amp;", "&amp;E1196&amp;", Saudi Arabia"</f>
        <v>المناخ, الحائط, Saudi Arabia</v>
      </c>
      <c r="K1196" s="18">
        <v>26.044117</v>
      </c>
      <c r="L1196" s="18">
        <v>40.325897</v>
      </c>
      <c r="M1196" s="18">
        <v>2000</v>
      </c>
      <c r="N1196" s="18" t="s">
        <v>562</v>
      </c>
    </row>
    <row r="1197" ht="15" customHeight="1" spans="1:14" x14ac:dyDescent="0.25">
      <c r="A1197" s="13" t="s">
        <v>2950</v>
      </c>
      <c r="B1197" s="13">
        <v>8</v>
      </c>
      <c r="C1197" s="14" t="s">
        <v>73</v>
      </c>
      <c r="D1197" s="13" t="s">
        <v>426</v>
      </c>
      <c r="E1197" s="14" t="s">
        <v>427</v>
      </c>
      <c r="F1197" s="14" t="s">
        <v>2951</v>
      </c>
      <c r="G1197" s="13" t="s">
        <v>149</v>
      </c>
      <c r="H1197" s="18" t="str">
        <f>IFERROR(INDEX('المحافظات Governorates'!$E$2:$E$151,MATCH(D1197,'المحافظات Governorates'!$A$2:$A$151,0)),"")</f>
        <v>Al-Hait</v>
      </c>
      <c r="I1197" s="18" t="str">
        <f>IFERROR(INDEX('المناطق Regions'!$C$2:$C$15,MATCH(B1197,'المناطق Regions'!$A$2:$A$15,0)),"")</f>
        <v>Hail</v>
      </c>
      <c r="J1197" s="18" t="str">
        <f>F1197&amp;", "&amp;E1197&amp;", Saudi Arabia"</f>
        <v>عيال عبيد, الحائط, Saudi Arabia</v>
      </c>
      <c r="K1197" s="18">
        <v>25.943406</v>
      </c>
      <c r="L1197" s="18">
        <v>40.788194</v>
      </c>
      <c r="M1197" s="18">
        <v>2000</v>
      </c>
      <c r="N1197" s="18" t="s">
        <v>562</v>
      </c>
    </row>
    <row r="1198" ht="15" customHeight="1" spans="1:14" x14ac:dyDescent="0.25">
      <c r="A1198" s="11" t="s">
        <v>2952</v>
      </c>
      <c r="B1198" s="11">
        <v>8</v>
      </c>
      <c r="C1198" s="12" t="s">
        <v>73</v>
      </c>
      <c r="D1198" s="11" t="s">
        <v>426</v>
      </c>
      <c r="E1198" s="12" t="s">
        <v>427</v>
      </c>
      <c r="F1198" s="12" t="s">
        <v>2953</v>
      </c>
      <c r="G1198" s="11" t="s">
        <v>149</v>
      </c>
      <c r="H1198" s="18" t="str">
        <f>IFERROR(INDEX('المحافظات Governorates'!$E$2:$E$151,MATCH(D1198,'المحافظات Governorates'!$A$2:$A$151,0)),"")</f>
        <v>Al-Hait</v>
      </c>
      <c r="I1198" s="18" t="str">
        <f>IFERROR(INDEX('المناطق Regions'!$C$2:$C$15,MATCH(B1198,'المناطق Regions'!$A$2:$A$15,0)),"")</f>
        <v>Hail</v>
      </c>
      <c r="J1198" s="18" t="str">
        <f>F1198&amp;", "&amp;E1198&amp;", Saudi Arabia"</f>
        <v>الوسعه, الحائط, Saudi Arabia</v>
      </c>
      <c r="K1198" s="18">
        <v>26.137828</v>
      </c>
      <c r="L1198" s="18">
        <v>40.532032</v>
      </c>
      <c r="M1198" s="18">
        <v>2000</v>
      </c>
      <c r="N1198" s="18" t="s">
        <v>562</v>
      </c>
    </row>
    <row r="1199" ht="15" customHeight="1" spans="1:14" x14ac:dyDescent="0.25">
      <c r="A1199" s="13" t="s">
        <v>2954</v>
      </c>
      <c r="B1199" s="13">
        <v>8</v>
      </c>
      <c r="C1199" s="14" t="s">
        <v>73</v>
      </c>
      <c r="D1199" s="13" t="s">
        <v>426</v>
      </c>
      <c r="E1199" s="14" t="s">
        <v>427</v>
      </c>
      <c r="F1199" s="14" t="s">
        <v>2955</v>
      </c>
      <c r="G1199" s="13" t="s">
        <v>149</v>
      </c>
      <c r="H1199" s="18" t="str">
        <f>IFERROR(INDEX('المحافظات Governorates'!$E$2:$E$151,MATCH(D1199,'المحافظات Governorates'!$A$2:$A$151,0)),"")</f>
        <v>Al-Hait</v>
      </c>
      <c r="I1199" s="18" t="str">
        <f>IFERROR(INDEX('المناطق Regions'!$C$2:$C$15,MATCH(B1199,'المناطق Regions'!$A$2:$A$15,0)),"")</f>
        <v>Hail</v>
      </c>
      <c r="J1199" s="18" t="str">
        <f>F1199&amp;", "&amp;E1199&amp;", Saudi Arabia"</f>
        <v>المغار, الحائط, Saudi Arabia</v>
      </c>
      <c r="K1199" s="18">
        <v>25.670885</v>
      </c>
      <c r="L1199" s="18">
        <v>40.734342</v>
      </c>
      <c r="M1199" s="18">
        <v>2000</v>
      </c>
      <c r="N1199" s="18" t="s">
        <v>562</v>
      </c>
    </row>
    <row r="1200" ht="15" customHeight="1" spans="1:14" x14ac:dyDescent="0.25">
      <c r="A1200" s="11" t="s">
        <v>2956</v>
      </c>
      <c r="B1200" s="11">
        <v>8</v>
      </c>
      <c r="C1200" s="12" t="s">
        <v>73</v>
      </c>
      <c r="D1200" s="11" t="s">
        <v>426</v>
      </c>
      <c r="E1200" s="12" t="s">
        <v>427</v>
      </c>
      <c r="F1200" s="12" t="s">
        <v>2957</v>
      </c>
      <c r="G1200" s="11" t="s">
        <v>149</v>
      </c>
      <c r="H1200" s="18" t="str">
        <f>IFERROR(INDEX('المحافظات Governorates'!$E$2:$E$151,MATCH(D1200,'المحافظات Governorates'!$A$2:$A$151,0)),"")</f>
        <v>Al-Hait</v>
      </c>
      <c r="I1200" s="18" t="str">
        <f>IFERROR(INDEX('المناطق Regions'!$C$2:$C$15,MATCH(B1200,'المناطق Regions'!$A$2:$A$15,0)),"")</f>
        <v>Hail</v>
      </c>
      <c r="J1200" s="18" t="str">
        <f>F1200&amp;", "&amp;E1200&amp;", Saudi Arabia"</f>
        <v>الخفج, الحائط, Saudi Arabia</v>
      </c>
      <c r="K1200" s="18">
        <v>26.264892</v>
      </c>
      <c r="L1200" s="18">
        <v>40.445566</v>
      </c>
      <c r="M1200" s="18">
        <v>2000</v>
      </c>
      <c r="N1200" s="18" t="s">
        <v>562</v>
      </c>
    </row>
    <row r="1201" ht="15" customHeight="1" spans="1:14" x14ac:dyDescent="0.25">
      <c r="A1201" s="13" t="s">
        <v>2958</v>
      </c>
      <c r="B1201" s="13">
        <v>8</v>
      </c>
      <c r="C1201" s="14" t="s">
        <v>73</v>
      </c>
      <c r="D1201" s="13" t="s">
        <v>426</v>
      </c>
      <c r="E1201" s="14" t="s">
        <v>427</v>
      </c>
      <c r="F1201" s="14" t="s">
        <v>2959</v>
      </c>
      <c r="G1201" s="13" t="s">
        <v>113</v>
      </c>
      <c r="H1201" s="18" t="str">
        <f>IFERROR(INDEX('المحافظات Governorates'!$E$2:$E$151,MATCH(D1201,'المحافظات Governorates'!$A$2:$A$151,0)),"")</f>
        <v>Al-Hait</v>
      </c>
      <c r="I1201" s="18" t="str">
        <f>IFERROR(INDEX('المناطق Regions'!$C$2:$C$15,MATCH(B1201,'المناطق Regions'!$A$2:$A$15,0)),"")</f>
        <v>Hail</v>
      </c>
      <c r="J1201" s="18" t="str">
        <f>F1201&amp;", "&amp;E1201&amp;", Saudi Arabia"</f>
        <v>الرقب, الحائط, Saudi Arabia</v>
      </c>
      <c r="K1201" s="18">
        <v>25.749633</v>
      </c>
      <c r="L1201" s="18">
        <v>41.099034</v>
      </c>
      <c r="M1201" s="18">
        <v>2000</v>
      </c>
      <c r="N1201" s="18" t="s">
        <v>562</v>
      </c>
    </row>
    <row r="1202" ht="15" customHeight="1" spans="1:14" x14ac:dyDescent="0.25">
      <c r="A1202" s="11" t="s">
        <v>2960</v>
      </c>
      <c r="B1202" s="11">
        <v>8</v>
      </c>
      <c r="C1202" s="12" t="s">
        <v>73</v>
      </c>
      <c r="D1202" s="11" t="s">
        <v>426</v>
      </c>
      <c r="E1202" s="12" t="s">
        <v>427</v>
      </c>
      <c r="F1202" s="12" t="s">
        <v>2961</v>
      </c>
      <c r="G1202" s="11" t="s">
        <v>149</v>
      </c>
      <c r="H1202" s="18" t="str">
        <f>IFERROR(INDEX('المحافظات Governorates'!$E$2:$E$151,MATCH(D1202,'المحافظات Governorates'!$A$2:$A$151,0)),"")</f>
        <v>Al-Hait</v>
      </c>
      <c r="I1202" s="18" t="str">
        <f>IFERROR(INDEX('المناطق Regions'!$C$2:$C$15,MATCH(B1202,'المناطق Regions'!$A$2:$A$15,0)),"")</f>
        <v>Hail</v>
      </c>
      <c r="J1202" s="18" t="str">
        <f>F1202&amp;", "&amp;E1202&amp;", Saudi Arabia"</f>
        <v>المعرش, الحائط, Saudi Arabia</v>
      </c>
      <c r="K1202" s="18">
        <v>26.000681</v>
      </c>
      <c r="L1202" s="18">
        <v>40.964023</v>
      </c>
      <c r="M1202" s="18">
        <v>2000</v>
      </c>
      <c r="N1202" s="18" t="s">
        <v>562</v>
      </c>
    </row>
    <row r="1203" ht="15" customHeight="1" spans="1:14" x14ac:dyDescent="0.25">
      <c r="A1203" s="13" t="s">
        <v>2962</v>
      </c>
      <c r="B1203" s="13">
        <v>8</v>
      </c>
      <c r="C1203" s="14" t="s">
        <v>73</v>
      </c>
      <c r="D1203" s="13" t="s">
        <v>426</v>
      </c>
      <c r="E1203" s="14" t="s">
        <v>427</v>
      </c>
      <c r="F1203" s="14" t="s">
        <v>2963</v>
      </c>
      <c r="G1203" s="13" t="s">
        <v>149</v>
      </c>
      <c r="H1203" s="18" t="str">
        <f>IFERROR(INDEX('المحافظات Governorates'!$E$2:$E$151,MATCH(D1203,'المحافظات Governorates'!$A$2:$A$151,0)),"")</f>
        <v>Al-Hait</v>
      </c>
      <c r="I1203" s="18" t="str">
        <f>IFERROR(INDEX('المناطق Regions'!$C$2:$C$15,MATCH(B1203,'المناطق Regions'!$A$2:$A$15,0)),"")</f>
        <v>Hail</v>
      </c>
      <c r="J1203" s="18" t="str">
        <f>F1203&amp;", "&amp;E1203&amp;", Saudi Arabia"</f>
        <v>جبال العلم, الحائط, Saudi Arabia</v>
      </c>
      <c r="K1203" s="18">
        <v>25.766877</v>
      </c>
      <c r="L1203" s="18">
        <v>41.004889</v>
      </c>
      <c r="M1203" s="18">
        <v>2000</v>
      </c>
      <c r="N1203" s="18" t="s">
        <v>562</v>
      </c>
    </row>
    <row r="1204" ht="15" customHeight="1" spans="1:14" x14ac:dyDescent="0.25">
      <c r="A1204" s="11" t="s">
        <v>2964</v>
      </c>
      <c r="B1204" s="11">
        <v>8</v>
      </c>
      <c r="C1204" s="12" t="s">
        <v>73</v>
      </c>
      <c r="D1204" s="11" t="s">
        <v>429</v>
      </c>
      <c r="E1204" s="12" t="s">
        <v>430</v>
      </c>
      <c r="F1204" s="12" t="s">
        <v>2965</v>
      </c>
      <c r="G1204" s="11" t="s">
        <v>113</v>
      </c>
      <c r="H1204" s="18" t="str">
        <f>IFERROR(INDEX('المحافظات Governorates'!$E$2:$E$151,MATCH(D1204,'المحافظات Governorates'!$A$2:$A$151,0)),"")</f>
        <v>As-Sulaymi</v>
      </c>
      <c r="I1204" s="18" t="str">
        <f>IFERROR(INDEX('المناطق Regions'!$C$2:$C$15,MATCH(B1204,'المناطق Regions'!$A$2:$A$15,0)),"")</f>
        <v>Hail</v>
      </c>
      <c r="J1204" s="18" t="str">
        <f>F1204&amp;", "&amp;E1204&amp;", Saudi Arabia"</f>
        <v>البعايث, السليمي, Saudi Arabia</v>
      </c>
      <c r="K1204" s="18">
        <v>26.022669</v>
      </c>
      <c r="L1204" s="18">
        <v>41.802967</v>
      </c>
      <c r="M1204" s="18">
        <v>2000</v>
      </c>
      <c r="N1204" s="18" t="s">
        <v>562</v>
      </c>
    </row>
    <row r="1205" ht="15" customHeight="1" spans="1:14" x14ac:dyDescent="0.25">
      <c r="A1205" s="13" t="s">
        <v>2966</v>
      </c>
      <c r="B1205" s="13">
        <v>8</v>
      </c>
      <c r="C1205" s="14" t="s">
        <v>73</v>
      </c>
      <c r="D1205" s="13" t="s">
        <v>429</v>
      </c>
      <c r="E1205" s="14" t="s">
        <v>430</v>
      </c>
      <c r="F1205" s="14" t="s">
        <v>2967</v>
      </c>
      <c r="G1205" s="13" t="s">
        <v>113</v>
      </c>
      <c r="H1205" s="18" t="str">
        <f>IFERROR(INDEX('المحافظات Governorates'!$E$2:$E$151,MATCH(D1205,'المحافظات Governorates'!$A$2:$A$151,0)),"")</f>
        <v>As-Sulaymi</v>
      </c>
      <c r="I1205" s="18" t="str">
        <f>IFERROR(INDEX('المناطق Regions'!$C$2:$C$15,MATCH(B1205,'المناطق Regions'!$A$2:$A$15,0)),"")</f>
        <v>Hail</v>
      </c>
      <c r="J1205" s="18" t="str">
        <f>F1205&amp;", "&amp;E1205&amp;", Saudi Arabia"</f>
        <v>النحيتيه, السليمي, Saudi Arabia</v>
      </c>
      <c r="K1205" s="18">
        <v>25.870856</v>
      </c>
      <c r="L1205" s="18">
        <v>41.442181</v>
      </c>
      <c r="M1205" s="18">
        <v>2000</v>
      </c>
      <c r="N1205" s="18" t="s">
        <v>562</v>
      </c>
    </row>
    <row r="1206" ht="15" customHeight="1" spans="1:14" x14ac:dyDescent="0.25">
      <c r="A1206" s="11" t="s">
        <v>2968</v>
      </c>
      <c r="B1206" s="11">
        <v>8</v>
      </c>
      <c r="C1206" s="12" t="s">
        <v>73</v>
      </c>
      <c r="D1206" s="11" t="s">
        <v>429</v>
      </c>
      <c r="E1206" s="12" t="s">
        <v>430</v>
      </c>
      <c r="F1206" s="12" t="s">
        <v>2969</v>
      </c>
      <c r="G1206" s="11" t="s">
        <v>113</v>
      </c>
      <c r="H1206" s="18" t="str">
        <f>IFERROR(INDEX('المحافظات Governorates'!$E$2:$E$151,MATCH(D1206,'المحافظات Governorates'!$A$2:$A$151,0)),"")</f>
        <v>As-Sulaymi</v>
      </c>
      <c r="I1206" s="18" t="str">
        <f>IFERROR(INDEX('المناطق Regions'!$C$2:$C$15,MATCH(B1206,'المناطق Regions'!$A$2:$A$15,0)),"")</f>
        <v>Hail</v>
      </c>
      <c r="J1206" s="18" t="str">
        <f>F1206&amp;", "&amp;E1206&amp;", Saudi Arabia"</f>
        <v>مراغان, السليمي, Saudi Arabia</v>
      </c>
      <c r="K1206" s="18">
        <v>26.164837</v>
      </c>
      <c r="L1206" s="18">
        <v>41.393529</v>
      </c>
      <c r="M1206" s="18">
        <v>88069</v>
      </c>
      <c r="N1206" s="18" t="s">
        <v>2053</v>
      </c>
    </row>
    <row r="1207" ht="15" customHeight="1" spans="1:14" x14ac:dyDescent="0.25">
      <c r="A1207" s="13" t="s">
        <v>2970</v>
      </c>
      <c r="B1207" s="13">
        <v>8</v>
      </c>
      <c r="C1207" s="14" t="s">
        <v>73</v>
      </c>
      <c r="D1207" s="13" t="s">
        <v>429</v>
      </c>
      <c r="E1207" s="14" t="s">
        <v>430</v>
      </c>
      <c r="F1207" s="14" t="s">
        <v>2971</v>
      </c>
      <c r="G1207" s="13" t="s">
        <v>113</v>
      </c>
      <c r="H1207" s="18" t="str">
        <f>IFERROR(INDEX('المحافظات Governorates'!$E$2:$E$151,MATCH(D1207,'المحافظات Governorates'!$A$2:$A$151,0)),"")</f>
        <v>As-Sulaymi</v>
      </c>
      <c r="I1207" s="18" t="str">
        <f>IFERROR(INDEX('المناطق Regions'!$C$2:$C$15,MATCH(B1207,'المناطق Regions'!$A$2:$A$15,0)),"")</f>
        <v>Hail</v>
      </c>
      <c r="J1207" s="18" t="str">
        <f>F1207&amp;", "&amp;E1207&amp;", Saudi Arabia"</f>
        <v>قاع حجلاء, السليمي, Saudi Arabia</v>
      </c>
      <c r="K1207" s="18">
        <v>26.147579</v>
      </c>
      <c r="L1207" s="18">
        <v>41.381442</v>
      </c>
      <c r="M1207" s="18">
        <v>2000</v>
      </c>
      <c r="N1207" s="18" t="s">
        <v>562</v>
      </c>
    </row>
    <row r="1208" ht="15" customHeight="1" spans="1:14" x14ac:dyDescent="0.25">
      <c r="A1208" s="11" t="s">
        <v>2972</v>
      </c>
      <c r="B1208" s="11">
        <v>8</v>
      </c>
      <c r="C1208" s="12" t="s">
        <v>73</v>
      </c>
      <c r="D1208" s="11" t="s">
        <v>429</v>
      </c>
      <c r="E1208" s="12" t="s">
        <v>430</v>
      </c>
      <c r="F1208" s="12" t="s">
        <v>2973</v>
      </c>
      <c r="G1208" s="11" t="s">
        <v>113</v>
      </c>
      <c r="H1208" s="18" t="str">
        <f>IFERROR(INDEX('المحافظات Governorates'!$E$2:$E$151,MATCH(D1208,'المحافظات Governorates'!$A$2:$A$151,0)),"")</f>
        <v>As-Sulaymi</v>
      </c>
      <c r="I1208" s="18" t="str">
        <f>IFERROR(INDEX('المناطق Regions'!$C$2:$C$15,MATCH(B1208,'المناطق Regions'!$A$2:$A$15,0)),"")</f>
        <v>Hail</v>
      </c>
      <c r="J1208" s="18" t="str">
        <f>F1208&amp;", "&amp;E1208&amp;", Saudi Arabia"</f>
        <v>العجاجة, السليمي, Saudi Arabia</v>
      </c>
      <c r="K1208" s="18">
        <v>26.109062</v>
      </c>
      <c r="L1208" s="18">
        <v>41.375525</v>
      </c>
      <c r="M1208" s="18">
        <v>2000</v>
      </c>
      <c r="N1208" s="18" t="s">
        <v>562</v>
      </c>
    </row>
    <row r="1209" ht="15" customHeight="1" spans="1:14" x14ac:dyDescent="0.25">
      <c r="A1209" s="13" t="s">
        <v>2974</v>
      </c>
      <c r="B1209" s="13">
        <v>8</v>
      </c>
      <c r="C1209" s="14" t="s">
        <v>73</v>
      </c>
      <c r="D1209" s="13" t="s">
        <v>429</v>
      </c>
      <c r="E1209" s="14" t="s">
        <v>430</v>
      </c>
      <c r="F1209" s="14" t="s">
        <v>2975</v>
      </c>
      <c r="G1209" s="13" t="s">
        <v>149</v>
      </c>
      <c r="H1209" s="18" t="str">
        <f>IFERROR(INDEX('المحافظات Governorates'!$E$2:$E$151,MATCH(D1209,'المحافظات Governorates'!$A$2:$A$151,0)),"")</f>
        <v>As-Sulaymi</v>
      </c>
      <c r="I1209" s="18" t="str">
        <f>IFERROR(INDEX('المناطق Regions'!$C$2:$C$15,MATCH(B1209,'المناطق Regions'!$A$2:$A$15,0)),"")</f>
        <v>Hail</v>
      </c>
      <c r="J1209" s="18" t="str">
        <f>F1209&amp;", "&amp;E1209&amp;", Saudi Arabia"</f>
        <v>العيثمه, السليمي, Saudi Arabia</v>
      </c>
      <c r="K1209" s="18">
        <v>26.164837</v>
      </c>
      <c r="L1209" s="18">
        <v>41.393529</v>
      </c>
      <c r="M1209" s="18">
        <v>88069</v>
      </c>
      <c r="N1209" s="18" t="s">
        <v>2053</v>
      </c>
    </row>
    <row r="1210" ht="15" customHeight="1" spans="1:14" x14ac:dyDescent="0.25">
      <c r="A1210" s="11" t="s">
        <v>2976</v>
      </c>
      <c r="B1210" s="11">
        <v>8</v>
      </c>
      <c r="C1210" s="12" t="s">
        <v>73</v>
      </c>
      <c r="D1210" s="11" t="s">
        <v>429</v>
      </c>
      <c r="E1210" s="12" t="s">
        <v>430</v>
      </c>
      <c r="F1210" s="12" t="s">
        <v>2977</v>
      </c>
      <c r="G1210" s="11" t="s">
        <v>113</v>
      </c>
      <c r="H1210" s="18" t="str">
        <f>IFERROR(INDEX('المحافظات Governorates'!$E$2:$E$151,MATCH(D1210,'المحافظات Governorates'!$A$2:$A$151,0)),"")</f>
        <v>As-Sulaymi</v>
      </c>
      <c r="I1210" s="18" t="str">
        <f>IFERROR(INDEX('المناطق Regions'!$C$2:$C$15,MATCH(B1210,'المناطق Regions'!$A$2:$A$15,0)),"")</f>
        <v>Hail</v>
      </c>
      <c r="J1210" s="18" t="str">
        <f>F1210&amp;", "&amp;E1210&amp;", Saudi Arabia"</f>
        <v>الثماميه, السليمي, Saudi Arabia</v>
      </c>
      <c r="K1210" s="18">
        <v>25.9794</v>
      </c>
      <c r="L1210" s="18">
        <v>41.21075</v>
      </c>
      <c r="M1210" s="18">
        <v>2000</v>
      </c>
      <c r="N1210" s="18" t="s">
        <v>562</v>
      </c>
    </row>
    <row r="1211" ht="15" customHeight="1" spans="1:14" x14ac:dyDescent="0.25">
      <c r="A1211" s="13" t="s">
        <v>2978</v>
      </c>
      <c r="B1211" s="13">
        <v>8</v>
      </c>
      <c r="C1211" s="14" t="s">
        <v>73</v>
      </c>
      <c r="D1211" s="13" t="s">
        <v>429</v>
      </c>
      <c r="E1211" s="14" t="s">
        <v>430</v>
      </c>
      <c r="F1211" s="14" t="s">
        <v>2979</v>
      </c>
      <c r="G1211" s="13" t="s">
        <v>149</v>
      </c>
      <c r="H1211" s="18" t="str">
        <f>IFERROR(INDEX('المحافظات Governorates'!$E$2:$E$151,MATCH(D1211,'المحافظات Governorates'!$A$2:$A$151,0)),"")</f>
        <v>As-Sulaymi</v>
      </c>
      <c r="I1211" s="18" t="str">
        <f>IFERROR(INDEX('المناطق Regions'!$C$2:$C$15,MATCH(B1211,'المناطق Regions'!$A$2:$A$15,0)),"")</f>
        <v>Hail</v>
      </c>
      <c r="J1211" s="18" t="str">
        <f>F1211&amp;", "&amp;E1211&amp;", Saudi Arabia"</f>
        <v>البركة, السليمي, Saudi Arabia</v>
      </c>
      <c r="K1211" s="18">
        <v>26.45921</v>
      </c>
      <c r="L1211" s="18">
        <v>41.091679</v>
      </c>
      <c r="M1211" s="18">
        <v>2000</v>
      </c>
      <c r="N1211" s="18" t="s">
        <v>562</v>
      </c>
    </row>
    <row r="1212" ht="15" customHeight="1" spans="1:14" x14ac:dyDescent="0.25">
      <c r="A1212" s="11" t="s">
        <v>2980</v>
      </c>
      <c r="B1212" s="11">
        <v>8</v>
      </c>
      <c r="C1212" s="12" t="s">
        <v>73</v>
      </c>
      <c r="D1212" s="11" t="s">
        <v>429</v>
      </c>
      <c r="E1212" s="12" t="s">
        <v>430</v>
      </c>
      <c r="F1212" s="12" t="s">
        <v>2981</v>
      </c>
      <c r="G1212" s="11" t="s">
        <v>149</v>
      </c>
      <c r="H1212" s="18" t="str">
        <f>IFERROR(INDEX('المحافظات Governorates'!$E$2:$E$151,MATCH(D1212,'المحافظات Governorates'!$A$2:$A$151,0)),"")</f>
        <v>As-Sulaymi</v>
      </c>
      <c r="I1212" s="18" t="str">
        <f>IFERROR(INDEX('المناطق Regions'!$C$2:$C$15,MATCH(B1212,'المناطق Regions'!$A$2:$A$15,0)),"")</f>
        <v>Hail</v>
      </c>
      <c r="J1212" s="18" t="str">
        <f>F1212&amp;", "&amp;E1212&amp;", Saudi Arabia"</f>
        <v>الذكري, السليمي, Saudi Arabia</v>
      </c>
      <c r="K1212" s="18">
        <v>26.14474</v>
      </c>
      <c r="L1212" s="18">
        <v>41.121261</v>
      </c>
      <c r="M1212" s="18">
        <v>2000</v>
      </c>
      <c r="N1212" s="18" t="s">
        <v>562</v>
      </c>
    </row>
    <row r="1213" ht="15" customHeight="1" spans="1:14" x14ac:dyDescent="0.25">
      <c r="A1213" s="13" t="s">
        <v>2982</v>
      </c>
      <c r="B1213" s="13">
        <v>9</v>
      </c>
      <c r="C1213" s="14" t="s">
        <v>76</v>
      </c>
      <c r="D1213" s="13" t="s">
        <v>432</v>
      </c>
      <c r="E1213" s="14" t="s">
        <v>79</v>
      </c>
      <c r="F1213" s="14" t="s">
        <v>2983</v>
      </c>
      <c r="G1213" s="13" t="s">
        <v>113</v>
      </c>
      <c r="H1213" s="18" t="str">
        <f>IFERROR(INDEX('المحافظات Governorates'!$E$2:$E$151,MATCH(D1213,'المحافظات Governorates'!$A$2:$A$151,0)),"")</f>
        <v>Arar</v>
      </c>
      <c r="I1213" s="18" t="str">
        <f>IFERROR(INDEX('المناطق Regions'!$C$2:$C$15,MATCH(B1213,'المناطق Regions'!$A$2:$A$15,0)),"")</f>
        <v>Northern Borders</v>
      </c>
      <c r="J1213" s="18" t="str">
        <f>F1213&amp;", "&amp;E1213&amp;", Saudi Arabia"</f>
        <v>الجديدة, عرعر, Saudi Arabia</v>
      </c>
      <c r="K1213" s="18">
        <v>31.326779</v>
      </c>
      <c r="L1213" s="18">
        <v>41.443634</v>
      </c>
      <c r="M1213" s="18">
        <v>2000</v>
      </c>
      <c r="N1213" s="18" t="s">
        <v>562</v>
      </c>
    </row>
    <row r="1214" ht="15" customHeight="1" spans="1:14" x14ac:dyDescent="0.25">
      <c r="A1214" s="11" t="s">
        <v>2984</v>
      </c>
      <c r="B1214" s="11">
        <v>9</v>
      </c>
      <c r="C1214" s="12" t="s">
        <v>76</v>
      </c>
      <c r="D1214" s="11" t="s">
        <v>432</v>
      </c>
      <c r="E1214" s="12" t="s">
        <v>79</v>
      </c>
      <c r="F1214" s="12" t="s">
        <v>2985</v>
      </c>
      <c r="G1214" s="11" t="s">
        <v>149</v>
      </c>
      <c r="H1214" s="18" t="str">
        <f>IFERROR(INDEX('المحافظات Governorates'!$E$2:$E$151,MATCH(D1214,'المحافظات Governorates'!$A$2:$A$151,0)),"")</f>
        <v>Arar</v>
      </c>
      <c r="I1214" s="18" t="str">
        <f>IFERROR(INDEX('المناطق Regions'!$C$2:$C$15,MATCH(B1214,'المناطق Regions'!$A$2:$A$15,0)),"")</f>
        <v>Northern Borders</v>
      </c>
      <c r="J1214" s="18" t="str">
        <f>F1214&amp;", "&amp;E1214&amp;", Saudi Arabia"</f>
        <v>ام خنصر, عرعر, Saudi Arabia</v>
      </c>
      <c r="K1214" s="18">
        <v>30.696266</v>
      </c>
      <c r="L1214" s="18">
        <v>41.596962</v>
      </c>
      <c r="M1214" s="18">
        <v>2000</v>
      </c>
      <c r="N1214" s="18" t="s">
        <v>562</v>
      </c>
    </row>
    <row r="1215" ht="15" customHeight="1" spans="1:14" x14ac:dyDescent="0.25">
      <c r="A1215" s="13" t="s">
        <v>2986</v>
      </c>
      <c r="B1215" s="13">
        <v>9</v>
      </c>
      <c r="C1215" s="14" t="s">
        <v>76</v>
      </c>
      <c r="D1215" s="13" t="s">
        <v>432</v>
      </c>
      <c r="E1215" s="14" t="s">
        <v>79</v>
      </c>
      <c r="F1215" s="14" t="s">
        <v>2987</v>
      </c>
      <c r="G1215" s="13" t="s">
        <v>149</v>
      </c>
      <c r="H1215" s="18" t="str">
        <f>IFERROR(INDEX('المحافظات Governorates'!$E$2:$E$151,MATCH(D1215,'المحافظات Governorates'!$A$2:$A$151,0)),"")</f>
        <v>Arar</v>
      </c>
      <c r="I1215" s="18" t="str">
        <f>IFERROR(INDEX('المناطق Regions'!$C$2:$C$15,MATCH(B1215,'المناطق Regions'!$A$2:$A$15,0)),"")</f>
        <v>Northern Borders</v>
      </c>
      <c r="J1215" s="18" t="str">
        <f>F1215&amp;", "&amp;E1215&amp;", Saudi Arabia"</f>
        <v>حزم الجلاميد, عرعر, Saudi Arabia</v>
      </c>
      <c r="K1215" s="18">
        <v>31.180312</v>
      </c>
      <c r="L1215" s="18">
        <v>39.96301</v>
      </c>
      <c r="M1215" s="18">
        <v>2000</v>
      </c>
      <c r="N1215" s="18" t="s">
        <v>562</v>
      </c>
    </row>
    <row r="1216" ht="15" customHeight="1" spans="1:14" x14ac:dyDescent="0.25">
      <c r="A1216" s="11" t="s">
        <v>2988</v>
      </c>
      <c r="B1216" s="11">
        <v>9</v>
      </c>
      <c r="C1216" s="12" t="s">
        <v>76</v>
      </c>
      <c r="D1216" s="11" t="s">
        <v>433</v>
      </c>
      <c r="E1216" s="12" t="s">
        <v>434</v>
      </c>
      <c r="F1216" s="12" t="s">
        <v>2989</v>
      </c>
      <c r="G1216" s="11" t="s">
        <v>113</v>
      </c>
      <c r="H1216" s="18" t="str">
        <f>IFERROR(INDEX('المحافظات Governorates'!$E$2:$E$151,MATCH(D1216,'المحافظات Governorates'!$A$2:$A$151,0)),"")</f>
        <v>Rafha</v>
      </c>
      <c r="I1216" s="18" t="str">
        <f>IFERROR(INDEX('المناطق Regions'!$C$2:$C$15,MATCH(B1216,'المناطق Regions'!$A$2:$A$15,0)),"")</f>
        <v>Northern Borders</v>
      </c>
      <c r="J1216" s="18" t="str">
        <f>F1216&amp;", "&amp;E1216&amp;", Saudi Arabia"</f>
        <v>لينه, رفحاء, Saudi Arabia</v>
      </c>
      <c r="K1216" s="18">
        <v>28.762464</v>
      </c>
      <c r="L1216" s="18">
        <v>43.736017</v>
      </c>
      <c r="M1216" s="18">
        <v>2000</v>
      </c>
      <c r="N1216" s="18" t="s">
        <v>562</v>
      </c>
    </row>
    <row r="1217" ht="15" customHeight="1" spans="1:14" x14ac:dyDescent="0.25">
      <c r="A1217" s="13" t="s">
        <v>2990</v>
      </c>
      <c r="B1217" s="13">
        <v>9</v>
      </c>
      <c r="C1217" s="14" t="s">
        <v>76</v>
      </c>
      <c r="D1217" s="13" t="s">
        <v>433</v>
      </c>
      <c r="E1217" s="14" t="s">
        <v>434</v>
      </c>
      <c r="F1217" s="14" t="s">
        <v>2991</v>
      </c>
      <c r="G1217" s="13" t="s">
        <v>113</v>
      </c>
      <c r="H1217" s="18" t="str">
        <f>IFERROR(INDEX('المحافظات Governorates'!$E$2:$E$151,MATCH(D1217,'المحافظات Governorates'!$A$2:$A$151,0)),"")</f>
        <v>Rafha</v>
      </c>
      <c r="I1217" s="18" t="str">
        <f>IFERROR(INDEX('المناطق Regions'!$C$2:$C$15,MATCH(B1217,'المناطق Regions'!$A$2:$A$15,0)),"")</f>
        <v>Northern Borders</v>
      </c>
      <c r="J1217" s="18" t="str">
        <f>F1217&amp;", "&amp;E1217&amp;", Saudi Arabia"</f>
        <v>الشعبة, رفحاء, Saudi Arabia</v>
      </c>
      <c r="K1217" s="18">
        <v>28.883651</v>
      </c>
      <c r="L1217" s="18">
        <v>44.739773</v>
      </c>
      <c r="M1217" s="18">
        <v>2000</v>
      </c>
      <c r="N1217" s="18" t="s">
        <v>562</v>
      </c>
    </row>
    <row r="1218" ht="15" customHeight="1" spans="1:14" x14ac:dyDescent="0.25">
      <c r="A1218" s="11" t="s">
        <v>2992</v>
      </c>
      <c r="B1218" s="11">
        <v>9</v>
      </c>
      <c r="C1218" s="12" t="s">
        <v>76</v>
      </c>
      <c r="D1218" s="11" t="s">
        <v>433</v>
      </c>
      <c r="E1218" s="12" t="s">
        <v>434</v>
      </c>
      <c r="F1218" s="12" t="s">
        <v>2993</v>
      </c>
      <c r="G1218" s="11" t="s">
        <v>113</v>
      </c>
      <c r="H1218" s="18" t="str">
        <f>IFERROR(INDEX('المحافظات Governorates'!$E$2:$E$151,MATCH(D1218,'المحافظات Governorates'!$A$2:$A$151,0)),"")</f>
        <v>Rafha</v>
      </c>
      <c r="I1218" s="18" t="str">
        <f>IFERROR(INDEX('المناطق Regions'!$C$2:$C$15,MATCH(B1218,'المناطق Regions'!$A$2:$A$15,0)),"")</f>
        <v>Northern Borders</v>
      </c>
      <c r="J1218" s="18" t="str">
        <f>F1218&amp;", "&amp;E1218&amp;", Saudi Arabia"</f>
        <v>سماح, رفحاء, Saudi Arabia</v>
      </c>
      <c r="K1218" s="18">
        <v>29.168343</v>
      </c>
      <c r="L1218" s="18">
        <v>43.5715</v>
      </c>
      <c r="M1218" s="18">
        <v>213348</v>
      </c>
      <c r="N1218" s="18" t="s">
        <v>2994</v>
      </c>
    </row>
    <row r="1219" ht="15" customHeight="1" spans="1:14" x14ac:dyDescent="0.25">
      <c r="A1219" s="13" t="s">
        <v>2995</v>
      </c>
      <c r="B1219" s="13">
        <v>9</v>
      </c>
      <c r="C1219" s="14" t="s">
        <v>76</v>
      </c>
      <c r="D1219" s="13" t="s">
        <v>433</v>
      </c>
      <c r="E1219" s="14" t="s">
        <v>434</v>
      </c>
      <c r="F1219" s="14" t="s">
        <v>2996</v>
      </c>
      <c r="G1219" s="13" t="s">
        <v>113</v>
      </c>
      <c r="H1219" s="18" t="str">
        <f>IFERROR(INDEX('المحافظات Governorates'!$E$2:$E$151,MATCH(D1219,'المحافظات Governorates'!$A$2:$A$151,0)),"")</f>
        <v>Rafha</v>
      </c>
      <c r="I1219" s="18" t="str">
        <f>IFERROR(INDEX('المناطق Regions'!$C$2:$C$15,MATCH(B1219,'المناطق Regions'!$A$2:$A$15,0)),"")</f>
        <v>Northern Borders</v>
      </c>
      <c r="J1219" s="18" t="str">
        <f>F1219&amp;", "&amp;E1219&amp;", Saudi Arabia"</f>
        <v>نصاب, رفحاء, Saudi Arabia</v>
      </c>
      <c r="K1219" s="18">
        <v>29.192745</v>
      </c>
      <c r="L1219" s="18">
        <v>44.715978</v>
      </c>
      <c r="M1219" s="18">
        <v>2000</v>
      </c>
      <c r="N1219" s="18" t="s">
        <v>562</v>
      </c>
    </row>
    <row r="1220" ht="15" customHeight="1" spans="1:14" x14ac:dyDescent="0.25">
      <c r="A1220" s="11" t="s">
        <v>2997</v>
      </c>
      <c r="B1220" s="11">
        <v>9</v>
      </c>
      <c r="C1220" s="12" t="s">
        <v>76</v>
      </c>
      <c r="D1220" s="11" t="s">
        <v>433</v>
      </c>
      <c r="E1220" s="12" t="s">
        <v>434</v>
      </c>
      <c r="F1220" s="12" t="s">
        <v>2998</v>
      </c>
      <c r="G1220" s="11" t="s">
        <v>149</v>
      </c>
      <c r="H1220" s="18" t="str">
        <f>IFERROR(INDEX('المحافظات Governorates'!$E$2:$E$151,MATCH(D1220,'المحافظات Governorates'!$A$2:$A$151,0)),"")</f>
        <v>Rafha</v>
      </c>
      <c r="I1220" s="18" t="str">
        <f>IFERROR(INDEX('المناطق Regions'!$C$2:$C$15,MATCH(B1220,'المناطق Regions'!$A$2:$A$15,0)),"")</f>
        <v>Northern Borders</v>
      </c>
      <c r="J1220" s="18" t="str">
        <f>F1220&amp;", "&amp;E1220&amp;", Saudi Arabia"</f>
        <v>لوقة, رفحاء, Saudi Arabia</v>
      </c>
      <c r="K1220" s="18">
        <v>29.825076</v>
      </c>
      <c r="L1220" s="18">
        <v>42.740045</v>
      </c>
      <c r="M1220" s="18">
        <v>2000</v>
      </c>
      <c r="N1220" s="18" t="s">
        <v>562</v>
      </c>
    </row>
    <row r="1221" ht="15" customHeight="1" spans="1:14" x14ac:dyDescent="0.25">
      <c r="A1221" s="13" t="s">
        <v>2999</v>
      </c>
      <c r="B1221" s="13">
        <v>9</v>
      </c>
      <c r="C1221" s="14" t="s">
        <v>76</v>
      </c>
      <c r="D1221" s="13" t="s">
        <v>433</v>
      </c>
      <c r="E1221" s="14" t="s">
        <v>434</v>
      </c>
      <c r="F1221" s="14" t="s">
        <v>3000</v>
      </c>
      <c r="G1221" s="13" t="s">
        <v>113</v>
      </c>
      <c r="H1221" s="18" t="str">
        <f>IFERROR(INDEX('المحافظات Governorates'!$E$2:$E$151,MATCH(D1221,'المحافظات Governorates'!$A$2:$A$151,0)),"")</f>
        <v>Rafha</v>
      </c>
      <c r="I1221" s="18" t="str">
        <f>IFERROR(INDEX('المناطق Regions'!$C$2:$C$15,MATCH(B1221,'المناطق Regions'!$A$2:$A$15,0)),"")</f>
        <v>Northern Borders</v>
      </c>
      <c r="J1221" s="18" t="str">
        <f>F1221&amp;", "&amp;E1221&amp;", Saudi Arabia"</f>
        <v>التمياط, رفحاء, Saudi Arabia</v>
      </c>
      <c r="K1221" s="18">
        <v>29.856944</v>
      </c>
      <c r="L1221" s="18">
        <v>43.140278</v>
      </c>
      <c r="M1221" s="18">
        <v>2000</v>
      </c>
      <c r="N1221" s="18" t="s">
        <v>562</v>
      </c>
    </row>
    <row r="1222" ht="15" customHeight="1" spans="1:14" x14ac:dyDescent="0.25">
      <c r="A1222" s="11" t="s">
        <v>3001</v>
      </c>
      <c r="B1222" s="11">
        <v>9</v>
      </c>
      <c r="C1222" s="12" t="s">
        <v>76</v>
      </c>
      <c r="D1222" s="11" t="s">
        <v>433</v>
      </c>
      <c r="E1222" s="12" t="s">
        <v>434</v>
      </c>
      <c r="F1222" s="12" t="s">
        <v>3002</v>
      </c>
      <c r="G1222" s="11" t="s">
        <v>113</v>
      </c>
      <c r="H1222" s="18" t="str">
        <f>IFERROR(INDEX('المحافظات Governorates'!$E$2:$E$151,MATCH(D1222,'المحافظات Governorates'!$A$2:$A$151,0)),"")</f>
        <v>Rafha</v>
      </c>
      <c r="I1222" s="18" t="str">
        <f>IFERROR(INDEX('المناطق Regions'!$C$2:$C$15,MATCH(B1222,'المناطق Regions'!$A$2:$A$15,0)),"")</f>
        <v>Northern Borders</v>
      </c>
      <c r="J1222" s="18" t="str">
        <f>F1222&amp;", "&amp;E1222&amp;", Saudi Arabia"</f>
        <v>بن شريم, رفحاء, Saudi Arabia</v>
      </c>
      <c r="K1222" s="18">
        <v>29.168343</v>
      </c>
      <c r="L1222" s="18">
        <v>43.5715</v>
      </c>
      <c r="M1222" s="18">
        <v>213348</v>
      </c>
      <c r="N1222" s="18" t="s">
        <v>2994</v>
      </c>
    </row>
    <row r="1223" ht="15" customHeight="1" spans="1:14" x14ac:dyDescent="0.25">
      <c r="A1223" s="13" t="s">
        <v>3003</v>
      </c>
      <c r="B1223" s="13">
        <v>9</v>
      </c>
      <c r="C1223" s="14" t="s">
        <v>76</v>
      </c>
      <c r="D1223" s="13" t="s">
        <v>433</v>
      </c>
      <c r="E1223" s="14" t="s">
        <v>434</v>
      </c>
      <c r="F1223" s="14" t="s">
        <v>3004</v>
      </c>
      <c r="G1223" s="13" t="s">
        <v>113</v>
      </c>
      <c r="H1223" s="18" t="str">
        <f>IFERROR(INDEX('المحافظات Governorates'!$E$2:$E$151,MATCH(D1223,'المحافظات Governorates'!$A$2:$A$151,0)),"")</f>
        <v>Rafha</v>
      </c>
      <c r="I1223" s="18" t="str">
        <f>IFERROR(INDEX('المناطق Regions'!$C$2:$C$15,MATCH(B1223,'المناطق Regions'!$A$2:$A$15,0)),"")</f>
        <v>Northern Borders</v>
      </c>
      <c r="J1223" s="18" t="str">
        <f>F1223&amp;", "&amp;E1223&amp;", Saudi Arabia"</f>
        <v>بن هباس, رفحاء, Saudi Arabia</v>
      </c>
      <c r="K1223" s="18">
        <v>29.168343</v>
      </c>
      <c r="L1223" s="18">
        <v>43.5715</v>
      </c>
      <c r="M1223" s="18">
        <v>213348</v>
      </c>
      <c r="N1223" s="18" t="s">
        <v>2994</v>
      </c>
    </row>
    <row r="1224" ht="15" customHeight="1" spans="1:14" x14ac:dyDescent="0.25">
      <c r="A1224" s="11" t="s">
        <v>3005</v>
      </c>
      <c r="B1224" s="11">
        <v>9</v>
      </c>
      <c r="C1224" s="12" t="s">
        <v>76</v>
      </c>
      <c r="D1224" s="11" t="s">
        <v>433</v>
      </c>
      <c r="E1224" s="12" t="s">
        <v>434</v>
      </c>
      <c r="F1224" s="12" t="s">
        <v>765</v>
      </c>
      <c r="G1224" s="11" t="s">
        <v>149</v>
      </c>
      <c r="H1224" s="18" t="str">
        <f>IFERROR(INDEX('المحافظات Governorates'!$E$2:$E$151,MATCH(D1224,'المحافظات Governorates'!$A$2:$A$151,0)),"")</f>
        <v>Rafha</v>
      </c>
      <c r="I1224" s="18" t="str">
        <f>IFERROR(INDEX('المناطق Regions'!$C$2:$C$15,MATCH(B1224,'المناطق Regions'!$A$2:$A$15,0)),"")</f>
        <v>Northern Borders</v>
      </c>
      <c r="J1224" s="18" t="str">
        <f>F1224&amp;", "&amp;E1224&amp;", Saudi Arabia"</f>
        <v>ام رضمه, رفحاء, Saudi Arabia</v>
      </c>
      <c r="K1224" s="18">
        <v>28.679848</v>
      </c>
      <c r="L1224" s="18">
        <v>44.687419</v>
      </c>
      <c r="M1224" s="18">
        <v>2000</v>
      </c>
      <c r="N1224" s="18" t="s">
        <v>562</v>
      </c>
    </row>
    <row r="1225" ht="15" customHeight="1" spans="1:14" x14ac:dyDescent="0.25">
      <c r="A1225" s="13" t="s">
        <v>3006</v>
      </c>
      <c r="B1225" s="13">
        <v>9</v>
      </c>
      <c r="C1225" s="14" t="s">
        <v>76</v>
      </c>
      <c r="D1225" s="13" t="s">
        <v>433</v>
      </c>
      <c r="E1225" s="14" t="s">
        <v>434</v>
      </c>
      <c r="F1225" s="14" t="s">
        <v>3007</v>
      </c>
      <c r="G1225" s="13" t="s">
        <v>149</v>
      </c>
      <c r="H1225" s="18" t="str">
        <f>IFERROR(INDEX('المحافظات Governorates'!$E$2:$E$151,MATCH(D1225,'المحافظات Governorates'!$A$2:$A$151,0)),"")</f>
        <v>Rafha</v>
      </c>
      <c r="I1225" s="18" t="str">
        <f>IFERROR(INDEX('المناطق Regions'!$C$2:$C$15,MATCH(B1225,'المناطق Regions'!$A$2:$A$15,0)),"")</f>
        <v>Northern Borders</v>
      </c>
      <c r="J1225" s="18" t="str">
        <f>F1225&amp;", "&amp;E1225&amp;", Saudi Arabia"</f>
        <v>الخشيبي, رفحاء, Saudi Arabia</v>
      </c>
      <c r="K1225" s="18">
        <v>29.3008</v>
      </c>
      <c r="L1225" s="18">
        <v>44.032722</v>
      </c>
      <c r="M1225" s="18">
        <v>2000</v>
      </c>
      <c r="N1225" s="18" t="s">
        <v>562</v>
      </c>
    </row>
    <row r="1226" ht="15" customHeight="1" spans="1:14" x14ac:dyDescent="0.25">
      <c r="A1226" s="11" t="s">
        <v>3008</v>
      </c>
      <c r="B1226" s="11">
        <v>9</v>
      </c>
      <c r="C1226" s="12" t="s">
        <v>76</v>
      </c>
      <c r="D1226" s="11" t="s">
        <v>433</v>
      </c>
      <c r="E1226" s="12" t="s">
        <v>434</v>
      </c>
      <c r="F1226" s="12" t="s">
        <v>3009</v>
      </c>
      <c r="G1226" s="11" t="s">
        <v>149</v>
      </c>
      <c r="H1226" s="18" t="str">
        <f>IFERROR(INDEX('المحافظات Governorates'!$E$2:$E$151,MATCH(D1226,'المحافظات Governorates'!$A$2:$A$151,0)),"")</f>
        <v>Rafha</v>
      </c>
      <c r="I1226" s="18" t="str">
        <f>IFERROR(INDEX('المناطق Regions'!$C$2:$C$15,MATCH(B1226,'المناطق Regions'!$A$2:$A$15,0)),"")</f>
        <v>Northern Borders</v>
      </c>
      <c r="J1226" s="18" t="str">
        <f>F1226&amp;", "&amp;E1226&amp;", Saudi Arabia"</f>
        <v>زبالا, رفحاء, Saudi Arabia</v>
      </c>
      <c r="K1226" s="18">
        <v>29.498106</v>
      </c>
      <c r="L1226" s="18">
        <v>43.638308</v>
      </c>
      <c r="M1226" s="18">
        <v>2000</v>
      </c>
      <c r="N1226" s="18" t="s">
        <v>562</v>
      </c>
    </row>
    <row r="1227" ht="15" customHeight="1" spans="1:14" x14ac:dyDescent="0.25">
      <c r="A1227" s="13" t="s">
        <v>3010</v>
      </c>
      <c r="B1227" s="13">
        <v>9</v>
      </c>
      <c r="C1227" s="14" t="s">
        <v>76</v>
      </c>
      <c r="D1227" s="13" t="s">
        <v>433</v>
      </c>
      <c r="E1227" s="14" t="s">
        <v>434</v>
      </c>
      <c r="F1227" s="14" t="s">
        <v>3011</v>
      </c>
      <c r="G1227" s="13" t="s">
        <v>149</v>
      </c>
      <c r="H1227" s="18" t="str">
        <f>IFERROR(INDEX('المحافظات Governorates'!$E$2:$E$151,MATCH(D1227,'المحافظات Governorates'!$A$2:$A$151,0)),"")</f>
        <v>Rafha</v>
      </c>
      <c r="I1227" s="18" t="str">
        <f>IFERROR(INDEX('المناطق Regions'!$C$2:$C$15,MATCH(B1227,'المناطق Regions'!$A$2:$A$15,0)),"")</f>
        <v>Northern Borders</v>
      </c>
      <c r="J1227" s="18" t="str">
        <f>F1227&amp;", "&amp;E1227&amp;", Saudi Arabia"</f>
        <v>العجرمية, رفحاء, Saudi Arabia</v>
      </c>
      <c r="K1227" s="18">
        <v>29.956437</v>
      </c>
      <c r="L1227" s="18">
        <v>43.081456</v>
      </c>
      <c r="M1227" s="18">
        <v>2000</v>
      </c>
      <c r="N1227" s="18" t="s">
        <v>562</v>
      </c>
    </row>
    <row r="1228" ht="15" customHeight="1" spans="1:14" x14ac:dyDescent="0.25">
      <c r="A1228" s="11" t="s">
        <v>3012</v>
      </c>
      <c r="B1228" s="11">
        <v>9</v>
      </c>
      <c r="C1228" s="12" t="s">
        <v>76</v>
      </c>
      <c r="D1228" s="11" t="s">
        <v>433</v>
      </c>
      <c r="E1228" s="12" t="s">
        <v>434</v>
      </c>
      <c r="F1228" s="12" t="s">
        <v>3013</v>
      </c>
      <c r="G1228" s="11" t="s">
        <v>149</v>
      </c>
      <c r="H1228" s="18" t="str">
        <f>IFERROR(INDEX('المحافظات Governorates'!$E$2:$E$151,MATCH(D1228,'المحافظات Governorates'!$A$2:$A$151,0)),"")</f>
        <v>Rafha</v>
      </c>
      <c r="I1228" s="18" t="str">
        <f>IFERROR(INDEX('المناطق Regions'!$C$2:$C$15,MATCH(B1228,'المناطق Regions'!$A$2:$A$15,0)),"")</f>
        <v>Northern Borders</v>
      </c>
      <c r="J1228" s="18" t="str">
        <f>F1228&amp;", "&amp;E1228&amp;", Saudi Arabia"</f>
        <v>رغوة, رفحاء, Saudi Arabia</v>
      </c>
      <c r="K1228" s="18">
        <v>28.651774</v>
      </c>
      <c r="L1228" s="18">
        <v>44.073806</v>
      </c>
      <c r="M1228" s="18">
        <v>2000</v>
      </c>
      <c r="N1228" s="18" t="s">
        <v>562</v>
      </c>
    </row>
    <row r="1229" ht="15" customHeight="1" spans="1:14" x14ac:dyDescent="0.25">
      <c r="A1229" s="13" t="s">
        <v>3014</v>
      </c>
      <c r="B1229" s="13">
        <v>9</v>
      </c>
      <c r="C1229" s="14" t="s">
        <v>76</v>
      </c>
      <c r="D1229" s="13" t="s">
        <v>433</v>
      </c>
      <c r="E1229" s="14" t="s">
        <v>434</v>
      </c>
      <c r="F1229" s="14" t="s">
        <v>3015</v>
      </c>
      <c r="G1229" s="13" t="s">
        <v>149</v>
      </c>
      <c r="H1229" s="18" t="str">
        <f>IFERROR(INDEX('المحافظات Governorates'!$E$2:$E$151,MATCH(D1229,'المحافظات Governorates'!$A$2:$A$151,0)),"")</f>
        <v>Rafha</v>
      </c>
      <c r="I1229" s="18" t="str">
        <f>IFERROR(INDEX('المناطق Regions'!$C$2:$C$15,MATCH(B1229,'المناطق Regions'!$A$2:$A$15,0)),"")</f>
        <v>Northern Borders</v>
      </c>
      <c r="J1229" s="18" t="str">
        <f>F1229&amp;", "&amp;E1229&amp;", Saudi Arabia"</f>
        <v>الحدق, رفحاء, Saudi Arabia</v>
      </c>
      <c r="K1229" s="18">
        <v>29.229771</v>
      </c>
      <c r="L1229" s="18">
        <v>43.354162</v>
      </c>
      <c r="M1229" s="18">
        <v>2000</v>
      </c>
      <c r="N1229" s="18" t="s">
        <v>562</v>
      </c>
    </row>
    <row r="1230" ht="15" customHeight="1" spans="1:14" x14ac:dyDescent="0.25">
      <c r="A1230" s="11" t="s">
        <v>3016</v>
      </c>
      <c r="B1230" s="11">
        <v>9</v>
      </c>
      <c r="C1230" s="12" t="s">
        <v>76</v>
      </c>
      <c r="D1230" s="11" t="s">
        <v>433</v>
      </c>
      <c r="E1230" s="12" t="s">
        <v>434</v>
      </c>
      <c r="F1230" s="12" t="s">
        <v>3017</v>
      </c>
      <c r="G1230" s="11" t="s">
        <v>149</v>
      </c>
      <c r="H1230" s="18" t="str">
        <f>IFERROR(INDEX('المحافظات Governorates'!$E$2:$E$151,MATCH(D1230,'المحافظات Governorates'!$A$2:$A$151,0)),"")</f>
        <v>Rafha</v>
      </c>
      <c r="I1230" s="18" t="str">
        <f>IFERROR(INDEX('المناطق Regions'!$C$2:$C$15,MATCH(B1230,'المناطق Regions'!$A$2:$A$15,0)),"")</f>
        <v>Northern Borders</v>
      </c>
      <c r="J1230" s="18" t="str">
        <f>F1230&amp;", "&amp;E1230&amp;", Saudi Arabia"</f>
        <v>أعيوج لينة, رفحاء, Saudi Arabia</v>
      </c>
      <c r="K1230" s="18">
        <v>28.817407</v>
      </c>
      <c r="L1230" s="18">
        <v>44.037078</v>
      </c>
      <c r="M1230" s="18">
        <v>2000</v>
      </c>
      <c r="N1230" s="18" t="s">
        <v>562</v>
      </c>
    </row>
    <row r="1231" ht="15" customHeight="1" spans="1:14" x14ac:dyDescent="0.25">
      <c r="A1231" s="13" t="s">
        <v>3018</v>
      </c>
      <c r="B1231" s="13">
        <v>9</v>
      </c>
      <c r="C1231" s="14" t="s">
        <v>76</v>
      </c>
      <c r="D1231" s="13" t="s">
        <v>433</v>
      </c>
      <c r="E1231" s="14" t="s">
        <v>434</v>
      </c>
      <c r="F1231" s="14" t="s">
        <v>3019</v>
      </c>
      <c r="G1231" s="13" t="s">
        <v>149</v>
      </c>
      <c r="H1231" s="18" t="str">
        <f>IFERROR(INDEX('المحافظات Governorates'!$E$2:$E$151,MATCH(D1231,'المحافظات Governorates'!$A$2:$A$151,0)),"")</f>
        <v>Rafha</v>
      </c>
      <c r="I1231" s="18" t="str">
        <f>IFERROR(INDEX('المناطق Regions'!$C$2:$C$15,MATCH(B1231,'المناطق Regions'!$A$2:$A$15,0)),"")</f>
        <v>Northern Borders</v>
      </c>
      <c r="J1231" s="18" t="str">
        <f>F1231&amp;", "&amp;E1231&amp;", Saudi Arabia"</f>
        <v>الحدقة, رفحاء, Saudi Arabia</v>
      </c>
      <c r="K1231" s="18">
        <v>28.461497</v>
      </c>
      <c r="L1231" s="18">
        <v>44.332017</v>
      </c>
      <c r="M1231" s="18">
        <v>2000</v>
      </c>
      <c r="N1231" s="18" t="s">
        <v>562</v>
      </c>
    </row>
    <row r="1232" ht="15" customHeight="1" spans="1:14" x14ac:dyDescent="0.25">
      <c r="A1232" s="11" t="s">
        <v>3020</v>
      </c>
      <c r="B1232" s="11">
        <v>9</v>
      </c>
      <c r="C1232" s="12" t="s">
        <v>76</v>
      </c>
      <c r="D1232" s="11" t="s">
        <v>433</v>
      </c>
      <c r="E1232" s="12" t="s">
        <v>434</v>
      </c>
      <c r="F1232" s="12" t="s">
        <v>3021</v>
      </c>
      <c r="G1232" s="11" t="s">
        <v>149</v>
      </c>
      <c r="H1232" s="18" t="str">
        <f>IFERROR(INDEX('المحافظات Governorates'!$E$2:$E$151,MATCH(D1232,'المحافظات Governorates'!$A$2:$A$151,0)),"")</f>
        <v>Rafha</v>
      </c>
      <c r="I1232" s="18" t="str">
        <f>IFERROR(INDEX('المناطق Regions'!$C$2:$C$15,MATCH(B1232,'المناطق Regions'!$A$2:$A$15,0)),"")</f>
        <v>Northern Borders</v>
      </c>
      <c r="J1232" s="18" t="str">
        <f>F1232&amp;", "&amp;E1232&amp;", Saudi Arabia"</f>
        <v>الجميمة, رفحاء, Saudi Arabia</v>
      </c>
      <c r="K1232" s="18">
        <v>29.573574</v>
      </c>
      <c r="L1232" s="18">
        <v>43.632138</v>
      </c>
      <c r="M1232" s="18">
        <v>2000</v>
      </c>
      <c r="N1232" s="18" t="s">
        <v>562</v>
      </c>
    </row>
    <row r="1233" ht="15" customHeight="1" spans="1:14" x14ac:dyDescent="0.25">
      <c r="A1233" s="13" t="s">
        <v>3022</v>
      </c>
      <c r="B1233" s="13">
        <v>9</v>
      </c>
      <c r="C1233" s="14" t="s">
        <v>76</v>
      </c>
      <c r="D1233" s="13" t="s">
        <v>436</v>
      </c>
      <c r="E1233" s="14" t="s">
        <v>437</v>
      </c>
      <c r="F1233" s="14" t="s">
        <v>3023</v>
      </c>
      <c r="G1233" s="13" t="s">
        <v>149</v>
      </c>
      <c r="H1233" s="18" t="str">
        <f>IFERROR(INDEX('المحافظات Governorates'!$E$2:$E$151,MATCH(D1233,'المحافظات Governorates'!$A$2:$A$151,0)),"")</f>
        <v>Turaif</v>
      </c>
      <c r="I1233" s="18" t="str">
        <f>IFERROR(INDEX('المناطق Regions'!$C$2:$C$15,MATCH(B1233,'المناطق Regions'!$A$2:$A$15,0)),"")</f>
        <v>Northern Borders</v>
      </c>
      <c r="J1233" s="18" t="str">
        <f>F1233&amp;", "&amp;E1233&amp;", Saudi Arabia"</f>
        <v>الجرانى, طريف, Saudi Arabia</v>
      </c>
      <c r="K1233" s="18">
        <v>31.480445</v>
      </c>
      <c r="L1233" s="18">
        <v>38.40256</v>
      </c>
      <c r="M1233" s="18">
        <v>2000</v>
      </c>
      <c r="N1233" s="18" t="s">
        <v>642</v>
      </c>
    </row>
    <row r="1234" ht="15" customHeight="1" spans="1:14" x14ac:dyDescent="0.25">
      <c r="A1234" s="11" t="s">
        <v>3024</v>
      </c>
      <c r="B1234" s="11">
        <v>9</v>
      </c>
      <c r="C1234" s="12" t="s">
        <v>76</v>
      </c>
      <c r="D1234" s="11" t="s">
        <v>439</v>
      </c>
      <c r="E1234" s="12" t="s">
        <v>440</v>
      </c>
      <c r="F1234" s="12" t="s">
        <v>3025</v>
      </c>
      <c r="G1234" s="11" t="s">
        <v>113</v>
      </c>
      <c r="H1234" s="18" t="str">
        <f>IFERROR(INDEX('المحافظات Governorates'!$E$2:$E$151,MATCH(D1234,'المحافظات Governorates'!$A$2:$A$151,0)),"")</f>
        <v>Al-Uwayqilah</v>
      </c>
      <c r="I1234" s="18" t="str">
        <f>IFERROR(INDEX('المناطق Regions'!$C$2:$C$15,MATCH(B1234,'المناطق Regions'!$A$2:$A$15,0)),"")</f>
        <v>Northern Borders</v>
      </c>
      <c r="J1234" s="18" t="str">
        <f>F1234&amp;", "&amp;E1234&amp;", Saudi Arabia"</f>
        <v>الصحن, العويقيله, Saudi Arabia</v>
      </c>
      <c r="K1234" s="18">
        <v>30.461469</v>
      </c>
      <c r="L1234" s="18">
        <v>42.62766</v>
      </c>
      <c r="M1234" s="18">
        <v>2000</v>
      </c>
      <c r="N1234" s="18" t="s">
        <v>562</v>
      </c>
    </row>
    <row r="1235" ht="15" customHeight="1" spans="1:14" x14ac:dyDescent="0.25">
      <c r="A1235" s="13" t="s">
        <v>3026</v>
      </c>
      <c r="B1235" s="13">
        <v>9</v>
      </c>
      <c r="C1235" s="14" t="s">
        <v>76</v>
      </c>
      <c r="D1235" s="13" t="s">
        <v>439</v>
      </c>
      <c r="E1235" s="14" t="s">
        <v>440</v>
      </c>
      <c r="F1235" s="14" t="s">
        <v>3027</v>
      </c>
      <c r="G1235" s="13" t="s">
        <v>149</v>
      </c>
      <c r="H1235" s="18" t="str">
        <f>IFERROR(INDEX('المحافظات Governorates'!$E$2:$E$151,MATCH(D1235,'المحافظات Governorates'!$A$2:$A$151,0)),"")</f>
        <v>Al-Uwayqilah</v>
      </c>
      <c r="I1235" s="18" t="str">
        <f>IFERROR(INDEX('المناطق Regions'!$C$2:$C$15,MATCH(B1235,'المناطق Regions'!$A$2:$A$15,0)),"")</f>
        <v>Northern Borders</v>
      </c>
      <c r="J1235" s="18" t="str">
        <f>F1235&amp;", "&amp;E1235&amp;", Saudi Arabia"</f>
        <v>الدويد, العويقيله, Saudi Arabia</v>
      </c>
      <c r="K1235" s="18">
        <v>30.229444</v>
      </c>
      <c r="L1235" s="18">
        <v>42.301944</v>
      </c>
      <c r="M1235" s="18">
        <v>2000</v>
      </c>
      <c r="N1235" s="18" t="s">
        <v>562</v>
      </c>
    </row>
    <row r="1236" ht="15" customHeight="1" spans="1:14" x14ac:dyDescent="0.25">
      <c r="A1236" s="11" t="s">
        <v>3028</v>
      </c>
      <c r="B1236" s="11">
        <v>9</v>
      </c>
      <c r="C1236" s="12" t="s">
        <v>76</v>
      </c>
      <c r="D1236" s="11" t="s">
        <v>439</v>
      </c>
      <c r="E1236" s="12" t="s">
        <v>440</v>
      </c>
      <c r="F1236" s="12" t="s">
        <v>3029</v>
      </c>
      <c r="G1236" s="11" t="s">
        <v>149</v>
      </c>
      <c r="H1236" s="18" t="str">
        <f>IFERROR(INDEX('المحافظات Governorates'!$E$2:$E$151,MATCH(D1236,'المحافظات Governorates'!$A$2:$A$151,0)),"")</f>
        <v>Al-Uwayqilah</v>
      </c>
      <c r="I1236" s="18" t="str">
        <f>IFERROR(INDEX('المناطق Regions'!$C$2:$C$15,MATCH(B1236,'المناطق Regions'!$A$2:$A$15,0)),"")</f>
        <v>Northern Borders</v>
      </c>
      <c r="J1236" s="18" t="str">
        <f>F1236&amp;", "&amp;E1236&amp;", Saudi Arabia"</f>
        <v>الكاسب, العويقيله, Saudi Arabia</v>
      </c>
      <c r="K1236" s="18">
        <v>30.502938</v>
      </c>
      <c r="L1236" s="18">
        <v>41.934952</v>
      </c>
      <c r="M1236" s="18">
        <v>2000</v>
      </c>
      <c r="N1236" s="18" t="s">
        <v>562</v>
      </c>
    </row>
    <row r="1237" ht="15" customHeight="1" spans="1:14" x14ac:dyDescent="0.25">
      <c r="A1237" s="13" t="s">
        <v>3030</v>
      </c>
      <c r="B1237" s="13">
        <v>9</v>
      </c>
      <c r="C1237" s="14" t="s">
        <v>76</v>
      </c>
      <c r="D1237" s="13" t="s">
        <v>439</v>
      </c>
      <c r="E1237" s="14" t="s">
        <v>440</v>
      </c>
      <c r="F1237" s="14" t="s">
        <v>3031</v>
      </c>
      <c r="G1237" s="13" t="s">
        <v>149</v>
      </c>
      <c r="H1237" s="18" t="str">
        <f>IFERROR(INDEX('المحافظات Governorates'!$E$2:$E$151,MATCH(D1237,'المحافظات Governorates'!$A$2:$A$151,0)),"")</f>
        <v>Al-Uwayqilah</v>
      </c>
      <c r="I1237" s="18" t="str">
        <f>IFERROR(INDEX('المناطق Regions'!$C$2:$C$15,MATCH(B1237,'المناطق Regions'!$A$2:$A$15,0)),"")</f>
        <v>Northern Borders</v>
      </c>
      <c r="J1237" s="18" t="str">
        <f>F1237&amp;", "&amp;E1237&amp;", Saudi Arabia"</f>
        <v>ابورواث, العويقيله, Saudi Arabia</v>
      </c>
      <c r="K1237" s="18">
        <v>30.080219</v>
      </c>
      <c r="L1237" s="18">
        <v>42.128413</v>
      </c>
      <c r="M1237" s="18">
        <v>128322</v>
      </c>
      <c r="N1237" s="18" t="s">
        <v>3032</v>
      </c>
    </row>
    <row r="1238" ht="15" customHeight="1" spans="1:14" x14ac:dyDescent="0.25">
      <c r="A1238" s="11" t="s">
        <v>3033</v>
      </c>
      <c r="B1238" s="11">
        <v>9</v>
      </c>
      <c r="C1238" s="12" t="s">
        <v>76</v>
      </c>
      <c r="D1238" s="11" t="s">
        <v>439</v>
      </c>
      <c r="E1238" s="12" t="s">
        <v>440</v>
      </c>
      <c r="F1238" s="12" t="s">
        <v>3034</v>
      </c>
      <c r="G1238" s="11" t="s">
        <v>149</v>
      </c>
      <c r="H1238" s="18" t="str">
        <f>IFERROR(INDEX('المحافظات Governorates'!$E$2:$E$151,MATCH(D1238,'المحافظات Governorates'!$A$2:$A$151,0)),"")</f>
        <v>Al-Uwayqilah</v>
      </c>
      <c r="I1238" s="18" t="str">
        <f>IFERROR(INDEX('المناطق Regions'!$C$2:$C$15,MATCH(B1238,'المناطق Regions'!$A$2:$A$15,0)),"")</f>
        <v>Northern Borders</v>
      </c>
      <c r="J1238" s="18" t="str">
        <f>F1238&amp;", "&amp;E1238&amp;", Saudi Arabia"</f>
        <v>نعيجان, العويقيله, Saudi Arabia</v>
      </c>
      <c r="K1238" s="18">
        <v>29.540952</v>
      </c>
      <c r="L1238" s="18">
        <v>42.096502</v>
      </c>
      <c r="M1238" s="18">
        <v>2000</v>
      </c>
      <c r="N1238" s="18" t="s">
        <v>562</v>
      </c>
    </row>
    <row r="1239" ht="15" customHeight="1" spans="1:14" x14ac:dyDescent="0.25">
      <c r="A1239" s="13" t="s">
        <v>3035</v>
      </c>
      <c r="B1239" s="13">
        <v>9</v>
      </c>
      <c r="C1239" s="14" t="s">
        <v>76</v>
      </c>
      <c r="D1239" s="13" t="s">
        <v>439</v>
      </c>
      <c r="E1239" s="14" t="s">
        <v>440</v>
      </c>
      <c r="F1239" s="14" t="s">
        <v>3036</v>
      </c>
      <c r="G1239" s="13" t="s">
        <v>149</v>
      </c>
      <c r="H1239" s="18" t="str">
        <f>IFERROR(INDEX('المحافظات Governorates'!$E$2:$E$151,MATCH(D1239,'المحافظات Governorates'!$A$2:$A$151,0)),"")</f>
        <v>Al-Uwayqilah</v>
      </c>
      <c r="I1239" s="18" t="str">
        <f>IFERROR(INDEX('المناطق Regions'!$C$2:$C$15,MATCH(B1239,'المناطق Regions'!$A$2:$A$15,0)),"")</f>
        <v>Northern Borders</v>
      </c>
      <c r="J1239" s="18" t="str">
        <f>F1239&amp;", "&amp;E1239&amp;", Saudi Arabia"</f>
        <v>زهوه, العويقيله, Saudi Arabia</v>
      </c>
      <c r="K1239" s="18">
        <v>29.687222</v>
      </c>
      <c r="L1239" s="18">
        <v>42.104722</v>
      </c>
      <c r="M1239" s="18">
        <v>2000</v>
      </c>
      <c r="N1239" s="18" t="s">
        <v>562</v>
      </c>
    </row>
    <row r="1240" ht="15" customHeight="1" spans="1:14" x14ac:dyDescent="0.25">
      <c r="A1240" s="11" t="s">
        <v>3037</v>
      </c>
      <c r="B1240" s="11">
        <v>9</v>
      </c>
      <c r="C1240" s="12" t="s">
        <v>76</v>
      </c>
      <c r="D1240" s="11" t="s">
        <v>439</v>
      </c>
      <c r="E1240" s="12" t="s">
        <v>440</v>
      </c>
      <c r="F1240" s="12" t="s">
        <v>3038</v>
      </c>
      <c r="G1240" s="11" t="s">
        <v>149</v>
      </c>
      <c r="H1240" s="18" t="str">
        <f>IFERROR(INDEX('المحافظات Governorates'!$E$2:$E$151,MATCH(D1240,'المحافظات Governorates'!$A$2:$A$151,0)),"")</f>
        <v>Al-Uwayqilah</v>
      </c>
      <c r="I1240" s="18" t="str">
        <f>IFERROR(INDEX('المناطق Regions'!$C$2:$C$15,MATCH(B1240,'المناطق Regions'!$A$2:$A$15,0)),"")</f>
        <v>Northern Borders</v>
      </c>
      <c r="J1240" s="18" t="str">
        <f>F1240&amp;", "&amp;E1240&amp;", Saudi Arabia"</f>
        <v>الأيدية, العويقيله, Saudi Arabia</v>
      </c>
      <c r="K1240" s="18">
        <v>30.080219</v>
      </c>
      <c r="L1240" s="18">
        <v>42.128413</v>
      </c>
      <c r="M1240" s="18">
        <v>128322</v>
      </c>
      <c r="N1240" s="18" t="s">
        <v>3032</v>
      </c>
    </row>
    <row r="1241" ht="15" customHeight="1" spans="1:14" x14ac:dyDescent="0.25">
      <c r="A1241" s="13" t="s">
        <v>3039</v>
      </c>
      <c r="B1241" s="13">
        <v>10</v>
      </c>
      <c r="C1241" s="14" t="s">
        <v>81</v>
      </c>
      <c r="D1241" s="13" t="s">
        <v>442</v>
      </c>
      <c r="E1241" s="14" t="s">
        <v>81</v>
      </c>
      <c r="F1241" s="14" t="s">
        <v>3040</v>
      </c>
      <c r="G1241" s="13" t="s">
        <v>149</v>
      </c>
      <c r="H1241" s="18" t="str">
        <f>IFERROR(INDEX('المحافظات Governorates'!$E$2:$E$151,MATCH(D1241,'المحافظات Governorates'!$A$2:$A$151,0)),"")</f>
        <v>Jazan</v>
      </c>
      <c r="I1241" s="18" t="str">
        <f>IFERROR(INDEX('المناطق Regions'!$C$2:$C$15,MATCH(B1241,'المناطق Regions'!$A$2:$A$15,0)),"")</f>
        <v>Jazan</v>
      </c>
      <c r="J1241" s="18" t="str">
        <f>F1241&amp;", "&amp;E1241&amp;", Saudi Arabia"</f>
        <v>الفطيحه, جازان, Saudi Arabia</v>
      </c>
      <c r="K1241" s="18">
        <v>17.577471</v>
      </c>
      <c r="L1241" s="18">
        <v>42.633347</v>
      </c>
      <c r="M1241" s="18">
        <v>2000</v>
      </c>
      <c r="N1241" s="18" t="s">
        <v>562</v>
      </c>
    </row>
    <row r="1242" ht="15" customHeight="1" spans="1:14" x14ac:dyDescent="0.25">
      <c r="A1242" s="11" t="s">
        <v>3041</v>
      </c>
      <c r="B1242" s="11">
        <v>10</v>
      </c>
      <c r="C1242" s="12" t="s">
        <v>81</v>
      </c>
      <c r="D1242" s="11" t="s">
        <v>444</v>
      </c>
      <c r="E1242" s="12" t="s">
        <v>445</v>
      </c>
      <c r="F1242" s="12" t="s">
        <v>3042</v>
      </c>
      <c r="G1242" s="11" t="s">
        <v>113</v>
      </c>
      <c r="H1242" s="18" t="str">
        <f>IFERROR(INDEX('المحافظات Governorates'!$E$2:$E$151,MATCH(D1242,'المحافظات Governorates'!$A$2:$A$151,0)),"")</f>
        <v>Sabya</v>
      </c>
      <c r="I1242" s="18" t="str">
        <f>IFERROR(INDEX('المناطق Regions'!$C$2:$C$15,MATCH(B1242,'المناطق Regions'!$A$2:$A$15,0)),"")</f>
        <v>Jazan</v>
      </c>
      <c r="J1242" s="18" t="str">
        <f>F1242&amp;", "&amp;E1242&amp;", Saudi Arabia"</f>
        <v>العاليه, صبياء, Saudi Arabia</v>
      </c>
      <c r="K1242" s="18">
        <v>17.268876</v>
      </c>
      <c r="L1242" s="18">
        <v>42.538907</v>
      </c>
      <c r="M1242" s="18">
        <v>2000</v>
      </c>
      <c r="N1242" s="18" t="s">
        <v>562</v>
      </c>
    </row>
    <row r="1243" ht="15" customHeight="1" spans="1:14" x14ac:dyDescent="0.25">
      <c r="A1243" s="13" t="s">
        <v>3043</v>
      </c>
      <c r="B1243" s="13">
        <v>10</v>
      </c>
      <c r="C1243" s="14" t="s">
        <v>81</v>
      </c>
      <c r="D1243" s="13" t="s">
        <v>444</v>
      </c>
      <c r="E1243" s="14" t="s">
        <v>445</v>
      </c>
      <c r="F1243" s="14" t="s">
        <v>3044</v>
      </c>
      <c r="G1243" s="13" t="s">
        <v>113</v>
      </c>
      <c r="H1243" s="18" t="str">
        <f>IFERROR(INDEX('المحافظات Governorates'!$E$2:$E$151,MATCH(D1243,'المحافظات Governorates'!$A$2:$A$151,0)),"")</f>
        <v>Sabya</v>
      </c>
      <c r="I1243" s="18" t="str">
        <f>IFERROR(INDEX('المناطق Regions'!$C$2:$C$15,MATCH(B1243,'المناطق Regions'!$A$2:$A$15,0)),"")</f>
        <v>Jazan</v>
      </c>
      <c r="J1243" s="18" t="str">
        <f>F1243&amp;", "&amp;E1243&amp;", Saudi Arabia"</f>
        <v>قوز الجعافره, صبياء, Saudi Arabia</v>
      </c>
      <c r="K1243" s="18">
        <v>17.13738</v>
      </c>
      <c r="L1243" s="18">
        <v>42.441809</v>
      </c>
      <c r="M1243" s="18">
        <v>2000</v>
      </c>
      <c r="N1243" s="18" t="s">
        <v>562</v>
      </c>
    </row>
    <row r="1244" ht="15" customHeight="1" spans="1:14" x14ac:dyDescent="0.25">
      <c r="A1244" s="11" t="s">
        <v>3045</v>
      </c>
      <c r="B1244" s="11">
        <v>10</v>
      </c>
      <c r="C1244" s="12" t="s">
        <v>81</v>
      </c>
      <c r="D1244" s="11" t="s">
        <v>444</v>
      </c>
      <c r="E1244" s="12" t="s">
        <v>445</v>
      </c>
      <c r="F1244" s="12" t="s">
        <v>3046</v>
      </c>
      <c r="G1244" s="11" t="s">
        <v>113</v>
      </c>
      <c r="H1244" s="18" t="str">
        <f>IFERROR(INDEX('المحافظات Governorates'!$E$2:$E$151,MATCH(D1244,'المحافظات Governorates'!$A$2:$A$151,0)),"")</f>
        <v>Sabya</v>
      </c>
      <c r="I1244" s="18" t="str">
        <f>IFERROR(INDEX('المناطق Regions'!$C$2:$C$15,MATCH(B1244,'المناطق Regions'!$A$2:$A$15,0)),"")</f>
        <v>Jazan</v>
      </c>
      <c r="J1244" s="18" t="str">
        <f>F1244&amp;", "&amp;E1244&amp;", Saudi Arabia"</f>
        <v>الكدمى, صبياء, Saudi Arabia</v>
      </c>
      <c r="K1244" s="18">
        <v>17.259773</v>
      </c>
      <c r="L1244" s="18">
        <v>42.75738</v>
      </c>
      <c r="M1244" s="18">
        <v>2000</v>
      </c>
      <c r="N1244" s="18" t="s">
        <v>562</v>
      </c>
    </row>
    <row r="1245" ht="15" customHeight="1" spans="1:14" x14ac:dyDescent="0.25">
      <c r="A1245" s="13" t="s">
        <v>3047</v>
      </c>
      <c r="B1245" s="13">
        <v>10</v>
      </c>
      <c r="C1245" s="14" t="s">
        <v>81</v>
      </c>
      <c r="D1245" s="13" t="s">
        <v>447</v>
      </c>
      <c r="E1245" s="14" t="s">
        <v>448</v>
      </c>
      <c r="F1245" s="14" t="s">
        <v>3048</v>
      </c>
      <c r="G1245" s="13" t="s">
        <v>113</v>
      </c>
      <c r="H1245" s="18" t="str">
        <f>IFERROR(INDEX('المحافظات Governorates'!$E$2:$E$151,MATCH(D1245,'المحافظات Governorates'!$A$2:$A$151,0)),"")</f>
        <v>Abu Arish</v>
      </c>
      <c r="I1245" s="18" t="str">
        <f>IFERROR(INDEX('المناطق Regions'!$C$2:$C$15,MATCH(B1245,'المناطق Regions'!$A$2:$A$15,0)),"")</f>
        <v>Jazan</v>
      </c>
      <c r="J1245" s="18" t="str">
        <f>F1245&amp;", "&amp;E1245&amp;", Saudi Arabia"</f>
        <v>وادى جازان, ابو عريش, Saudi Arabia</v>
      </c>
      <c r="K1245" s="18">
        <v>16.914178</v>
      </c>
      <c r="L1245" s="18">
        <v>42.84544</v>
      </c>
      <c r="M1245" s="18">
        <v>2000</v>
      </c>
      <c r="N1245" s="18" t="s">
        <v>562</v>
      </c>
    </row>
    <row r="1246" ht="15" customHeight="1" spans="1:14" x14ac:dyDescent="0.25">
      <c r="A1246" s="11" t="s">
        <v>3049</v>
      </c>
      <c r="B1246" s="11">
        <v>10</v>
      </c>
      <c r="C1246" s="12" t="s">
        <v>81</v>
      </c>
      <c r="D1246" s="11" t="s">
        <v>450</v>
      </c>
      <c r="E1246" s="12" t="s">
        <v>451</v>
      </c>
      <c r="F1246" s="12" t="s">
        <v>3050</v>
      </c>
      <c r="G1246" s="11" t="s">
        <v>113</v>
      </c>
      <c r="H1246" s="18" t="str">
        <f>IFERROR(INDEX('المحافظات Governorates'!$E$2:$E$151,MATCH(D1246,'المحافظات Governorates'!$A$2:$A$151,0)),"")</f>
        <v>Samtah</v>
      </c>
      <c r="I1246" s="18" t="str">
        <f>IFERROR(INDEX('المناطق Regions'!$C$2:$C$15,MATCH(B1246,'المناطق Regions'!$A$2:$A$15,0)),"")</f>
        <v>Jazan</v>
      </c>
      <c r="J1246" s="18" t="str">
        <f>F1246&amp;", "&amp;E1246&amp;", Saudi Arabia"</f>
        <v>القفل, صامطة, Saudi Arabia</v>
      </c>
      <c r="K1246" s="18">
        <v>16.670434</v>
      </c>
      <c r="L1246" s="18">
        <v>43.078955</v>
      </c>
      <c r="M1246" s="18">
        <v>2000</v>
      </c>
      <c r="N1246" s="18" t="s">
        <v>562</v>
      </c>
    </row>
    <row r="1247" ht="15" customHeight="1" spans="1:14" x14ac:dyDescent="0.25">
      <c r="A1247" s="13" t="s">
        <v>3051</v>
      </c>
      <c r="B1247" s="13">
        <v>10</v>
      </c>
      <c r="C1247" s="14" t="s">
        <v>81</v>
      </c>
      <c r="D1247" s="13" t="s">
        <v>450</v>
      </c>
      <c r="E1247" s="14" t="s">
        <v>451</v>
      </c>
      <c r="F1247" s="14" t="s">
        <v>3052</v>
      </c>
      <c r="G1247" s="13" t="s">
        <v>113</v>
      </c>
      <c r="H1247" s="18" t="str">
        <f>IFERROR(INDEX('المحافظات Governorates'!$E$2:$E$151,MATCH(D1247,'المحافظات Governorates'!$A$2:$A$151,0)),"")</f>
        <v>Samtah</v>
      </c>
      <c r="I1247" s="18" t="str">
        <f>IFERROR(INDEX('المناطق Regions'!$C$2:$C$15,MATCH(B1247,'المناطق Regions'!$A$2:$A$15,0)),"")</f>
        <v>Jazan</v>
      </c>
      <c r="J1247" s="18" t="str">
        <f>F1247&amp;", "&amp;E1247&amp;", Saudi Arabia"</f>
        <v>السهي, صامطة, Saudi Arabia</v>
      </c>
      <c r="K1247" s="18">
        <v>16.535417</v>
      </c>
      <c r="L1247" s="18">
        <v>42.800222</v>
      </c>
      <c r="M1247" s="18">
        <v>2000</v>
      </c>
      <c r="N1247" s="18" t="s">
        <v>562</v>
      </c>
    </row>
    <row r="1248" ht="15" customHeight="1" spans="1:14" x14ac:dyDescent="0.25">
      <c r="A1248" s="11" t="s">
        <v>3053</v>
      </c>
      <c r="B1248" s="11">
        <v>10</v>
      </c>
      <c r="C1248" s="12" t="s">
        <v>81</v>
      </c>
      <c r="D1248" s="11" t="s">
        <v>453</v>
      </c>
      <c r="E1248" s="12" t="s">
        <v>454</v>
      </c>
      <c r="F1248" s="12" t="s">
        <v>3054</v>
      </c>
      <c r="G1248" s="11" t="s">
        <v>113</v>
      </c>
      <c r="H1248" s="18" t="str">
        <f>IFERROR(INDEX('المحافظات Governorates'!$E$2:$E$151,MATCH(D1248,'المحافظات Governorates'!$A$2:$A$151,0)),"")</f>
        <v>Al-Harth</v>
      </c>
      <c r="I1248" s="18" t="str">
        <f>IFERROR(INDEX('المناطق Regions'!$C$2:$C$15,MATCH(B1248,'المناطق Regions'!$A$2:$A$15,0)),"")</f>
        <v>Jazan</v>
      </c>
      <c r="J1248" s="18" t="str">
        <f>F1248&amp;", "&amp;E1248&amp;", Saudi Arabia"</f>
        <v>الخشل, الحرث, Saudi Arabia</v>
      </c>
      <c r="K1248" s="18">
        <v>16.875412</v>
      </c>
      <c r="L1248" s="18">
        <v>43.135117</v>
      </c>
      <c r="M1248" s="18">
        <v>2000</v>
      </c>
      <c r="N1248" s="18" t="s">
        <v>562</v>
      </c>
    </row>
    <row r="1249" ht="15" customHeight="1" spans="1:14" x14ac:dyDescent="0.25">
      <c r="A1249" s="13" t="s">
        <v>3055</v>
      </c>
      <c r="B1249" s="13">
        <v>10</v>
      </c>
      <c r="C1249" s="14" t="s">
        <v>81</v>
      </c>
      <c r="D1249" s="13" t="s">
        <v>456</v>
      </c>
      <c r="E1249" s="14" t="s">
        <v>457</v>
      </c>
      <c r="F1249" s="14" t="s">
        <v>3056</v>
      </c>
      <c r="G1249" s="13" t="s">
        <v>113</v>
      </c>
      <c r="H1249" s="18" t="str">
        <f>IFERROR(INDEX('المحافظات Governorates'!$E$2:$E$151,MATCH(D1249,'المحافظات Governorates'!$A$2:$A$151,0)),"")</f>
        <v>Damad</v>
      </c>
      <c r="I1249" s="18" t="str">
        <f>IFERROR(INDEX('المناطق Regions'!$C$2:$C$15,MATCH(B1249,'المناطق Regions'!$A$2:$A$15,0)),"")</f>
        <v>Jazan</v>
      </c>
      <c r="J1249" s="18" t="str">
        <f>F1249&amp;", "&amp;E1249&amp;", Saudi Arabia"</f>
        <v>الشقيرى, ضمد, Saudi Arabia</v>
      </c>
      <c r="K1249" s="18">
        <v>17.135636</v>
      </c>
      <c r="L1249" s="18">
        <v>42.827319</v>
      </c>
      <c r="M1249" s="18">
        <v>2000</v>
      </c>
      <c r="N1249" s="18" t="s">
        <v>562</v>
      </c>
    </row>
    <row r="1250" ht="15" customHeight="1" spans="1:14" x14ac:dyDescent="0.25">
      <c r="A1250" s="11" t="s">
        <v>3057</v>
      </c>
      <c r="B1250" s="11">
        <v>10</v>
      </c>
      <c r="C1250" s="12" t="s">
        <v>81</v>
      </c>
      <c r="D1250" s="11" t="s">
        <v>459</v>
      </c>
      <c r="E1250" s="12" t="s">
        <v>460</v>
      </c>
      <c r="F1250" s="12" t="s">
        <v>3058</v>
      </c>
      <c r="G1250" s="11" t="s">
        <v>149</v>
      </c>
      <c r="H1250" s="18" t="str">
        <f>IFERROR(INDEX('المحافظات Governorates'!$E$2:$E$151,MATCH(D1250,'المحافظات Governorates'!$A$2:$A$151,0)),"")</f>
        <v>Ar-Rayth</v>
      </c>
      <c r="I1250" s="18" t="str">
        <f>IFERROR(INDEX('المناطق Regions'!$C$2:$C$15,MATCH(B1250,'المناطق Regions'!$A$2:$A$15,0)),"")</f>
        <v>Jazan</v>
      </c>
      <c r="J1250" s="18" t="str">
        <f>F1250&amp;", "&amp;E1250&amp;", Saudi Arabia"</f>
        <v>عمود, الريث, Saudi Arabia</v>
      </c>
      <c r="K1250" s="18">
        <v>17.597599</v>
      </c>
      <c r="L1250" s="18">
        <v>42.865853</v>
      </c>
      <c r="M1250" s="18">
        <v>2000</v>
      </c>
      <c r="N1250" s="18" t="s">
        <v>562</v>
      </c>
    </row>
    <row r="1251" ht="15" customHeight="1" spans="1:14" x14ac:dyDescent="0.25">
      <c r="A1251" s="13" t="s">
        <v>3059</v>
      </c>
      <c r="B1251" s="13">
        <v>10</v>
      </c>
      <c r="C1251" s="14" t="s">
        <v>81</v>
      </c>
      <c r="D1251" s="13" t="s">
        <v>459</v>
      </c>
      <c r="E1251" s="14" t="s">
        <v>460</v>
      </c>
      <c r="F1251" s="14" t="s">
        <v>3060</v>
      </c>
      <c r="G1251" s="13" t="s">
        <v>149</v>
      </c>
      <c r="H1251" s="18" t="str">
        <f>IFERROR(INDEX('المحافظات Governorates'!$E$2:$E$151,MATCH(D1251,'المحافظات Governorates'!$A$2:$A$151,0)),"")</f>
        <v>Ar-Rayth</v>
      </c>
      <c r="I1251" s="18" t="str">
        <f>IFERROR(INDEX('المناطق Regions'!$C$2:$C$15,MATCH(B1251,'المناطق Regions'!$A$2:$A$15,0)),"")</f>
        <v>Jazan</v>
      </c>
      <c r="J1251" s="18" t="str">
        <f>F1251&amp;", "&amp;E1251&amp;", Saudi Arabia"</f>
        <v>الجبل الاسود, الريث, Saudi Arabia</v>
      </c>
      <c r="K1251" s="18">
        <v>17.554025</v>
      </c>
      <c r="L1251" s="18">
        <v>42.897583</v>
      </c>
      <c r="M1251" s="18">
        <v>2000</v>
      </c>
      <c r="N1251" s="18" t="s">
        <v>562</v>
      </c>
    </row>
    <row r="1252" ht="15" customHeight="1" spans="1:14" x14ac:dyDescent="0.25">
      <c r="A1252" s="11" t="s">
        <v>3061</v>
      </c>
      <c r="B1252" s="11">
        <v>10</v>
      </c>
      <c r="C1252" s="12" t="s">
        <v>81</v>
      </c>
      <c r="D1252" s="11" t="s">
        <v>459</v>
      </c>
      <c r="E1252" s="12" t="s">
        <v>460</v>
      </c>
      <c r="F1252" s="12" t="s">
        <v>3062</v>
      </c>
      <c r="G1252" s="11" t="s">
        <v>149</v>
      </c>
      <c r="H1252" s="18" t="str">
        <f>IFERROR(INDEX('المحافظات Governorates'!$E$2:$E$151,MATCH(D1252,'المحافظات Governorates'!$A$2:$A$151,0)),"")</f>
        <v>Ar-Rayth</v>
      </c>
      <c r="I1252" s="18" t="str">
        <f>IFERROR(INDEX('المناطق Regions'!$C$2:$C$15,MATCH(B1252,'المناطق Regions'!$A$2:$A$15,0)),"")</f>
        <v>Jazan</v>
      </c>
      <c r="J1252" s="18" t="str">
        <f>F1252&amp;", "&amp;E1252&amp;", Saudi Arabia"</f>
        <v>جبل القهر, الريث, Saudi Arabia</v>
      </c>
      <c r="K1252" s="18">
        <v>17.629189</v>
      </c>
      <c r="L1252" s="18">
        <v>42.912868</v>
      </c>
      <c r="M1252" s="18">
        <v>2000</v>
      </c>
      <c r="N1252" s="18" t="s">
        <v>562</v>
      </c>
    </row>
    <row r="1253" ht="15" customHeight="1" spans="1:14" x14ac:dyDescent="0.25">
      <c r="A1253" s="13" t="s">
        <v>3063</v>
      </c>
      <c r="B1253" s="13">
        <v>10</v>
      </c>
      <c r="C1253" s="14" t="s">
        <v>81</v>
      </c>
      <c r="D1253" s="13" t="s">
        <v>459</v>
      </c>
      <c r="E1253" s="14" t="s">
        <v>460</v>
      </c>
      <c r="F1253" s="14" t="s">
        <v>3064</v>
      </c>
      <c r="G1253" s="13" t="s">
        <v>149</v>
      </c>
      <c r="H1253" s="18" t="str">
        <f>IFERROR(INDEX('المحافظات Governorates'!$E$2:$E$151,MATCH(D1253,'المحافظات Governorates'!$A$2:$A$151,0)),"")</f>
        <v>Ar-Rayth</v>
      </c>
      <c r="I1253" s="18" t="str">
        <f>IFERROR(INDEX('المناطق Regions'!$C$2:$C$15,MATCH(B1253,'المناطق Regions'!$A$2:$A$15,0)),"")</f>
        <v>Jazan</v>
      </c>
      <c r="J1253" s="18" t="str">
        <f>F1253&amp;", "&amp;E1253&amp;", Saudi Arabia"</f>
        <v>مقزع, الريث, Saudi Arabia</v>
      </c>
      <c r="K1253" s="18">
        <v>17.645103</v>
      </c>
      <c r="L1253" s="18">
        <v>42.827648</v>
      </c>
      <c r="M1253" s="18">
        <v>27750</v>
      </c>
      <c r="N1253" s="18" t="s">
        <v>3065</v>
      </c>
    </row>
    <row r="1254" ht="15" customHeight="1" spans="1:14" x14ac:dyDescent="0.25">
      <c r="A1254" s="11" t="s">
        <v>3066</v>
      </c>
      <c r="B1254" s="11">
        <v>10</v>
      </c>
      <c r="C1254" s="12" t="s">
        <v>81</v>
      </c>
      <c r="D1254" s="11" t="s">
        <v>459</v>
      </c>
      <c r="E1254" s="12" t="s">
        <v>460</v>
      </c>
      <c r="F1254" s="12" t="s">
        <v>3067</v>
      </c>
      <c r="G1254" s="11" t="s">
        <v>149</v>
      </c>
      <c r="H1254" s="18" t="str">
        <f>IFERROR(INDEX('المحافظات Governorates'!$E$2:$E$151,MATCH(D1254,'المحافظات Governorates'!$A$2:$A$151,0)),"")</f>
        <v>Ar-Rayth</v>
      </c>
      <c r="I1254" s="18" t="str">
        <f>IFERROR(INDEX('المناطق Regions'!$C$2:$C$15,MATCH(B1254,'المناطق Regions'!$A$2:$A$15,0)),"")</f>
        <v>Jazan</v>
      </c>
      <c r="J1254" s="18" t="str">
        <f>F1254&amp;", "&amp;E1254&amp;", Saudi Arabia"</f>
        <v>ملاطس, الريث, Saudi Arabia</v>
      </c>
      <c r="K1254" s="18">
        <v>17.652255</v>
      </c>
      <c r="L1254" s="18">
        <v>42.705376</v>
      </c>
      <c r="M1254" s="18">
        <v>2000</v>
      </c>
      <c r="N1254" s="18" t="s">
        <v>562</v>
      </c>
    </row>
    <row r="1255" ht="15" customHeight="1" spans="1:14" x14ac:dyDescent="0.25">
      <c r="A1255" s="13" t="s">
        <v>3068</v>
      </c>
      <c r="B1255" s="13">
        <v>10</v>
      </c>
      <c r="C1255" s="14" t="s">
        <v>81</v>
      </c>
      <c r="D1255" s="13" t="s">
        <v>462</v>
      </c>
      <c r="E1255" s="14" t="s">
        <v>463</v>
      </c>
      <c r="F1255" s="14" t="s">
        <v>3069</v>
      </c>
      <c r="G1255" s="13" t="s">
        <v>113</v>
      </c>
      <c r="H1255" s="18" t="str">
        <f>IFERROR(INDEX('المحافظات Governorates'!$E$2:$E$151,MATCH(D1255,'المحافظات Governorates'!$A$2:$A$151,0)),"")</f>
        <v>Baysh</v>
      </c>
      <c r="I1255" s="18" t="str">
        <f>IFERROR(INDEX('المناطق Regions'!$C$2:$C$15,MATCH(B1255,'المناطق Regions'!$A$2:$A$15,0)),"")</f>
        <v>Jazan</v>
      </c>
      <c r="J1255" s="18" t="str">
        <f>F1255&amp;", "&amp;E1255&amp;", Saudi Arabia"</f>
        <v>الحقو, بيش, Saudi Arabia</v>
      </c>
      <c r="K1255" s="18">
        <v>17.516667</v>
      </c>
      <c r="L1255" s="18">
        <v>42.7</v>
      </c>
      <c r="M1255" s="18">
        <v>2000</v>
      </c>
      <c r="N1255" s="18" t="s">
        <v>562</v>
      </c>
    </row>
    <row r="1256" ht="15" customHeight="1" spans="1:14" x14ac:dyDescent="0.25">
      <c r="A1256" s="11" t="s">
        <v>3070</v>
      </c>
      <c r="B1256" s="11">
        <v>10</v>
      </c>
      <c r="C1256" s="12" t="s">
        <v>81</v>
      </c>
      <c r="D1256" s="11" t="s">
        <v>462</v>
      </c>
      <c r="E1256" s="12" t="s">
        <v>463</v>
      </c>
      <c r="F1256" s="12" t="s">
        <v>3071</v>
      </c>
      <c r="G1256" s="11" t="s">
        <v>113</v>
      </c>
      <c r="H1256" s="18" t="str">
        <f>IFERROR(INDEX('المحافظات Governorates'!$E$2:$E$151,MATCH(D1256,'المحافظات Governorates'!$A$2:$A$151,0)),"")</f>
        <v>Baysh</v>
      </c>
      <c r="I1256" s="18" t="str">
        <f>IFERROR(INDEX('المناطق Regions'!$C$2:$C$15,MATCH(B1256,'المناطق Regions'!$A$2:$A$15,0)),"")</f>
        <v>Jazan</v>
      </c>
      <c r="J1256" s="18" t="str">
        <f>F1256&amp;", "&amp;E1256&amp;", Saudi Arabia"</f>
        <v>مسليه, بيش, Saudi Arabia</v>
      </c>
      <c r="K1256" s="18">
        <v>17.459875</v>
      </c>
      <c r="L1256" s="18">
        <v>42.557204</v>
      </c>
      <c r="M1256" s="18">
        <v>2000</v>
      </c>
      <c r="N1256" s="18" t="s">
        <v>562</v>
      </c>
    </row>
    <row r="1257" ht="15" customHeight="1" spans="1:14" x14ac:dyDescent="0.25">
      <c r="A1257" s="13" t="s">
        <v>3072</v>
      </c>
      <c r="B1257" s="13">
        <v>10</v>
      </c>
      <c r="C1257" s="14" t="s">
        <v>81</v>
      </c>
      <c r="D1257" s="13" t="s">
        <v>462</v>
      </c>
      <c r="E1257" s="14" t="s">
        <v>463</v>
      </c>
      <c r="F1257" s="14" t="s">
        <v>3073</v>
      </c>
      <c r="G1257" s="13" t="s">
        <v>149</v>
      </c>
      <c r="H1257" s="18" t="str">
        <f>IFERROR(INDEX('المحافظات Governorates'!$E$2:$E$151,MATCH(D1257,'المحافظات Governorates'!$A$2:$A$151,0)),"")</f>
        <v>Baysh</v>
      </c>
      <c r="I1257" s="18" t="str">
        <f>IFERROR(INDEX('المناطق Regions'!$C$2:$C$15,MATCH(B1257,'المناطق Regions'!$A$2:$A$15,0)),"")</f>
        <v>Jazan</v>
      </c>
      <c r="J1257" s="18" t="str">
        <f>F1257&amp;", "&amp;E1257&amp;", Saudi Arabia"</f>
        <v>الخلاوية والنجوع, بيش, Saudi Arabia</v>
      </c>
      <c r="K1257" s="18">
        <v>17.402888</v>
      </c>
      <c r="L1257" s="18">
        <v>42.476483</v>
      </c>
      <c r="M1257" s="18">
        <v>43190</v>
      </c>
      <c r="N1257" s="18" t="s">
        <v>2443</v>
      </c>
    </row>
    <row r="1258" ht="15" customHeight="1" spans="1:14" x14ac:dyDescent="0.25">
      <c r="A1258" s="11" t="s">
        <v>3074</v>
      </c>
      <c r="B1258" s="11">
        <v>10</v>
      </c>
      <c r="C1258" s="12" t="s">
        <v>81</v>
      </c>
      <c r="D1258" s="11" t="s">
        <v>468</v>
      </c>
      <c r="E1258" s="12" t="s">
        <v>469</v>
      </c>
      <c r="F1258" s="12" t="s">
        <v>3075</v>
      </c>
      <c r="G1258" s="11" t="s">
        <v>113</v>
      </c>
      <c r="H1258" s="18" t="str">
        <f>IFERROR(INDEX('المحافظات Governorates'!$E$2:$E$151,MATCH(D1258,'المحافظات Governorates'!$A$2:$A$151,0)),"")</f>
        <v>Ad-Dayer</v>
      </c>
      <c r="I1258" s="18" t="str">
        <f>IFERROR(INDEX('المناطق Regions'!$C$2:$C$15,MATCH(B1258,'المناطق Regions'!$A$2:$A$15,0)),"")</f>
        <v>Jazan</v>
      </c>
      <c r="J1258" s="18" t="str">
        <f>F1258&amp;", "&amp;E1258&amp;", Saudi Arabia"</f>
        <v>جبال الحشر, الدائر, Saudi Arabia</v>
      </c>
      <c r="K1258" s="18">
        <v>17.468891</v>
      </c>
      <c r="L1258" s="18">
        <v>43.035057</v>
      </c>
      <c r="M1258" s="18">
        <v>2000</v>
      </c>
      <c r="N1258" s="18" t="s">
        <v>642</v>
      </c>
    </row>
    <row r="1259" ht="15" customHeight="1" spans="1:14" x14ac:dyDescent="0.25">
      <c r="A1259" s="13" t="s">
        <v>3076</v>
      </c>
      <c r="B1259" s="13">
        <v>10</v>
      </c>
      <c r="C1259" s="14" t="s">
        <v>81</v>
      </c>
      <c r="D1259" s="13" t="s">
        <v>468</v>
      </c>
      <c r="E1259" s="14" t="s">
        <v>469</v>
      </c>
      <c r="F1259" s="14" t="s">
        <v>3077</v>
      </c>
      <c r="G1259" s="13" t="s">
        <v>113</v>
      </c>
      <c r="H1259" s="18" t="str">
        <f>IFERROR(INDEX('المحافظات Governorates'!$E$2:$E$151,MATCH(D1259,'المحافظات Governorates'!$A$2:$A$151,0)),"")</f>
        <v>Ad-Dayer</v>
      </c>
      <c r="I1259" s="18" t="str">
        <f>IFERROR(INDEX('المناطق Regions'!$C$2:$C$15,MATCH(B1259,'المناطق Regions'!$A$2:$A$15,0)),"")</f>
        <v>Jazan</v>
      </c>
      <c r="J1259" s="18" t="str">
        <f>F1259&amp;", "&amp;E1259&amp;", Saudi Arabia"</f>
        <v>آل زيدان, الدائر, Saudi Arabia</v>
      </c>
      <c r="K1259" s="18"/>
      <c r="L1259" s="18"/>
      <c r="M1259" s="18"/>
      <c r="N1259" s="18" t="s">
        <v>1609</v>
      </c>
    </row>
    <row r="1260" ht="15" customHeight="1" spans="1:14" x14ac:dyDescent="0.25">
      <c r="A1260" s="11" t="s">
        <v>3078</v>
      </c>
      <c r="B1260" s="11">
        <v>10</v>
      </c>
      <c r="C1260" s="12" t="s">
        <v>81</v>
      </c>
      <c r="D1260" s="11" t="s">
        <v>468</v>
      </c>
      <c r="E1260" s="12" t="s">
        <v>469</v>
      </c>
      <c r="F1260" s="12" t="s">
        <v>3079</v>
      </c>
      <c r="G1260" s="11" t="s">
        <v>113</v>
      </c>
      <c r="H1260" s="18" t="str">
        <f>IFERROR(INDEX('المحافظات Governorates'!$E$2:$E$151,MATCH(D1260,'المحافظات Governorates'!$A$2:$A$151,0)),"")</f>
        <v>Ad-Dayer</v>
      </c>
      <c r="I1260" s="18" t="str">
        <f>IFERROR(INDEX('المناطق Regions'!$C$2:$C$15,MATCH(B1260,'المناطق Regions'!$A$2:$A$15,0)),"")</f>
        <v>Jazan</v>
      </c>
      <c r="J1260" s="18" t="str">
        <f>F1260&amp;", "&amp;E1260&amp;", Saudi Arabia"</f>
        <v>وادي دفاء, الدائر, Saudi Arabia</v>
      </c>
      <c r="K1260" s="18">
        <v>17.370997</v>
      </c>
      <c r="L1260" s="18">
        <v>43.191178</v>
      </c>
      <c r="M1260" s="18">
        <v>2000</v>
      </c>
      <c r="N1260" s="18" t="s">
        <v>642</v>
      </c>
    </row>
    <row r="1261" ht="15" customHeight="1" spans="1:14" x14ac:dyDescent="0.25">
      <c r="A1261" s="13" t="s">
        <v>3080</v>
      </c>
      <c r="B1261" s="13">
        <v>10</v>
      </c>
      <c r="C1261" s="14" t="s">
        <v>81</v>
      </c>
      <c r="D1261" s="13" t="s">
        <v>468</v>
      </c>
      <c r="E1261" s="14" t="s">
        <v>469</v>
      </c>
      <c r="F1261" s="14" t="s">
        <v>3081</v>
      </c>
      <c r="G1261" s="13" t="s">
        <v>149</v>
      </c>
      <c r="H1261" s="18" t="str">
        <f>IFERROR(INDEX('المحافظات Governorates'!$E$2:$E$151,MATCH(D1261,'المحافظات Governorates'!$A$2:$A$151,0)),"")</f>
        <v>Ad-Dayer</v>
      </c>
      <c r="I1261" s="18" t="str">
        <f>IFERROR(INDEX('المناطق Regions'!$C$2:$C$15,MATCH(B1261,'المناطق Regions'!$A$2:$A$15,0)),"")</f>
        <v>Jazan</v>
      </c>
      <c r="J1261" s="18" t="str">
        <f>F1261&amp;", "&amp;E1261&amp;", Saudi Arabia"</f>
        <v>عثوان, الدائر, Saudi Arabia</v>
      </c>
      <c r="K1261" s="18">
        <v>17.316205</v>
      </c>
      <c r="L1261" s="18">
        <v>43.218091</v>
      </c>
      <c r="M1261" s="18">
        <v>2000</v>
      </c>
      <c r="N1261" s="18" t="s">
        <v>642</v>
      </c>
    </row>
    <row r="1262" ht="15" customHeight="1" spans="1:14" x14ac:dyDescent="0.25">
      <c r="A1262" s="11" t="s">
        <v>3082</v>
      </c>
      <c r="B1262" s="11">
        <v>10</v>
      </c>
      <c r="C1262" s="12" t="s">
        <v>81</v>
      </c>
      <c r="D1262" s="11" t="s">
        <v>468</v>
      </c>
      <c r="E1262" s="12" t="s">
        <v>469</v>
      </c>
      <c r="F1262" s="12" t="s">
        <v>3083</v>
      </c>
      <c r="G1262" s="11" t="s">
        <v>149</v>
      </c>
      <c r="H1262" s="18" t="str">
        <f>IFERROR(INDEX('المحافظات Governorates'!$E$2:$E$151,MATCH(D1262,'المحافظات Governorates'!$A$2:$A$151,0)),"")</f>
        <v>Ad-Dayer</v>
      </c>
      <c r="I1262" s="18" t="str">
        <f>IFERROR(INDEX('المناطق Regions'!$C$2:$C$15,MATCH(B1262,'المناطق Regions'!$A$2:$A$15,0)),"")</f>
        <v>Jazan</v>
      </c>
      <c r="J1262" s="18" t="str">
        <f>F1262&amp;", "&amp;E1262&amp;", Saudi Arabia"</f>
        <v>السلف, الدائر, Saudi Arabia</v>
      </c>
      <c r="K1262" s="18">
        <v>17.452917</v>
      </c>
      <c r="L1262" s="18">
        <v>43.165468</v>
      </c>
      <c r="M1262" s="18">
        <v>2000</v>
      </c>
      <c r="N1262" s="18" t="s">
        <v>642</v>
      </c>
    </row>
    <row r="1263" ht="15" customHeight="1" spans="1:14" x14ac:dyDescent="0.25">
      <c r="A1263" s="13" t="s">
        <v>3084</v>
      </c>
      <c r="B1263" s="13">
        <v>10</v>
      </c>
      <c r="C1263" s="14" t="s">
        <v>81</v>
      </c>
      <c r="D1263" s="13" t="s">
        <v>468</v>
      </c>
      <c r="E1263" s="14" t="s">
        <v>469</v>
      </c>
      <c r="F1263" s="14" t="s">
        <v>3085</v>
      </c>
      <c r="G1263" s="13" t="s">
        <v>149</v>
      </c>
      <c r="H1263" s="18" t="str">
        <f>IFERROR(INDEX('المحافظات Governorates'!$E$2:$E$151,MATCH(D1263,'المحافظات Governorates'!$A$2:$A$151,0)),"")</f>
        <v>Ad-Dayer</v>
      </c>
      <c r="I1263" s="18" t="str">
        <f>IFERROR(INDEX('المناطق Regions'!$C$2:$C$15,MATCH(B1263,'المناطق Regions'!$A$2:$A$15,0)),"")</f>
        <v>Jazan</v>
      </c>
      <c r="J1263" s="18" t="str">
        <f>F1263&amp;", "&amp;E1263&amp;", Saudi Arabia"</f>
        <v>الجانبه, الدائر, Saudi Arabia</v>
      </c>
      <c r="K1263" s="18">
        <v>17.375054</v>
      </c>
      <c r="L1263" s="18">
        <v>43.11737</v>
      </c>
      <c r="M1263" s="18">
        <v>2000</v>
      </c>
      <c r="N1263" s="18" t="s">
        <v>642</v>
      </c>
    </row>
    <row r="1264" ht="15" customHeight="1" spans="1:14" x14ac:dyDescent="0.25">
      <c r="A1264" s="11" t="s">
        <v>3086</v>
      </c>
      <c r="B1264" s="11">
        <v>10</v>
      </c>
      <c r="C1264" s="12" t="s">
        <v>81</v>
      </c>
      <c r="D1264" s="11" t="s">
        <v>471</v>
      </c>
      <c r="E1264" s="12" t="s">
        <v>472</v>
      </c>
      <c r="F1264" s="12" t="s">
        <v>3087</v>
      </c>
      <c r="G1264" s="11" t="s">
        <v>113</v>
      </c>
      <c r="H1264" s="18" t="str">
        <f>IFERROR(INDEX('المحافظات Governorates'!$E$2:$E$151,MATCH(D1264,'المحافظات Governorates'!$A$2:$A$151,0)),"")</f>
        <v>Ahad Al-Masarihah</v>
      </c>
      <c r="I1264" s="18" t="str">
        <f>IFERROR(INDEX('المناطق Regions'!$C$2:$C$15,MATCH(B1264,'المناطق Regions'!$A$2:$A$15,0)),"")</f>
        <v>Jazan</v>
      </c>
      <c r="J1264" s="18" t="str">
        <f>F1264&amp;", "&amp;E1264&amp;", Saudi Arabia"</f>
        <v>الحكامية, احد المسارحه, Saudi Arabia</v>
      </c>
      <c r="K1264" s="18">
        <v>16.76993</v>
      </c>
      <c r="L1264" s="18">
        <v>42.748118</v>
      </c>
      <c r="M1264" s="18">
        <v>2000</v>
      </c>
      <c r="N1264" s="18" t="s">
        <v>562</v>
      </c>
    </row>
    <row r="1265" ht="15" customHeight="1" spans="1:14" x14ac:dyDescent="0.25">
      <c r="A1265" s="13" t="s">
        <v>3088</v>
      </c>
      <c r="B1265" s="13">
        <v>10</v>
      </c>
      <c r="C1265" s="14" t="s">
        <v>81</v>
      </c>
      <c r="D1265" s="13" t="s">
        <v>474</v>
      </c>
      <c r="E1265" s="14" t="s">
        <v>475</v>
      </c>
      <c r="F1265" s="14" t="s">
        <v>3089</v>
      </c>
      <c r="G1265" s="13" t="s">
        <v>113</v>
      </c>
      <c r="H1265" s="18" t="str">
        <f>IFERROR(INDEX('المحافظات Governorates'!$E$2:$E$151,MATCH(D1265,'المحافظات Governorates'!$A$2:$A$151,0)),"")</f>
        <v>Al-Aydabi</v>
      </c>
      <c r="I1265" s="18" t="str">
        <f>IFERROR(INDEX('المناطق Regions'!$C$2:$C$15,MATCH(B1265,'المناطق Regions'!$A$2:$A$15,0)),"")</f>
        <v>Jazan</v>
      </c>
      <c r="J1265" s="18" t="str">
        <f>F1265&amp;", "&amp;E1265&amp;", Saudi Arabia"</f>
        <v>بلغازي, العيدابى, Saudi Arabia</v>
      </c>
      <c r="K1265" s="18">
        <v>17.242114</v>
      </c>
      <c r="L1265" s="18">
        <v>42.983092</v>
      </c>
      <c r="M1265" s="18">
        <v>2000</v>
      </c>
      <c r="N1265" s="18" t="s">
        <v>562</v>
      </c>
    </row>
    <row r="1266" ht="15" customHeight="1" spans="1:14" x14ac:dyDescent="0.25">
      <c r="A1266" s="11" t="s">
        <v>3090</v>
      </c>
      <c r="B1266" s="11">
        <v>10</v>
      </c>
      <c r="C1266" s="12" t="s">
        <v>81</v>
      </c>
      <c r="D1266" s="11" t="s">
        <v>474</v>
      </c>
      <c r="E1266" s="12" t="s">
        <v>475</v>
      </c>
      <c r="F1266" s="12" t="s">
        <v>3091</v>
      </c>
      <c r="G1266" s="11" t="s">
        <v>149</v>
      </c>
      <c r="H1266" s="18" t="str">
        <f>IFERROR(INDEX('المحافظات Governorates'!$E$2:$E$151,MATCH(D1266,'المحافظات Governorates'!$A$2:$A$151,0)),"")</f>
        <v>Al-Aydabi</v>
      </c>
      <c r="I1266" s="18" t="str">
        <f>IFERROR(INDEX('المناطق Regions'!$C$2:$C$15,MATCH(B1266,'المناطق Regions'!$A$2:$A$15,0)),"")</f>
        <v>Jazan</v>
      </c>
      <c r="J1266" s="18" t="str">
        <f>F1266&amp;", "&amp;E1266&amp;", Saudi Arabia"</f>
        <v>ريع مصيدة, العيدابى, Saudi Arabia</v>
      </c>
      <c r="K1266" s="18">
        <v>17.376661</v>
      </c>
      <c r="L1266" s="18">
        <v>43.073535</v>
      </c>
      <c r="M1266" s="18">
        <v>2000</v>
      </c>
      <c r="N1266" s="18" t="s">
        <v>562</v>
      </c>
    </row>
    <row r="1267" ht="15" customHeight="1" spans="1:14" x14ac:dyDescent="0.25">
      <c r="A1267" s="13" t="s">
        <v>3092</v>
      </c>
      <c r="B1267" s="13">
        <v>10</v>
      </c>
      <c r="C1267" s="14" t="s">
        <v>81</v>
      </c>
      <c r="D1267" s="13" t="s">
        <v>477</v>
      </c>
      <c r="E1267" s="14" t="s">
        <v>478</v>
      </c>
      <c r="F1267" s="14" t="s">
        <v>3093</v>
      </c>
      <c r="G1267" s="13" t="s">
        <v>113</v>
      </c>
      <c r="H1267" s="18" t="str">
        <f>IFERROR(INDEX('المحافظات Governorates'!$E$2:$E$151,MATCH(D1267,'المحافظات Governorates'!$A$2:$A$151,0)),"")</f>
        <v>Al-Aridah</v>
      </c>
      <c r="I1267" s="18" t="str">
        <f>IFERROR(INDEX('المناطق Regions'!$C$2:$C$15,MATCH(B1267,'المناطق Regions'!$A$2:$A$15,0)),"")</f>
        <v>Jazan</v>
      </c>
      <c r="J1267" s="18" t="str">
        <f>F1267&amp;", "&amp;E1267&amp;", Saudi Arabia"</f>
        <v>قيس, العارضه, Saudi Arabia</v>
      </c>
      <c r="K1267" s="18">
        <v>17.055826</v>
      </c>
      <c r="L1267" s="18">
        <v>43.196517</v>
      </c>
      <c r="M1267" s="18">
        <v>2000</v>
      </c>
      <c r="N1267" s="18" t="s">
        <v>562</v>
      </c>
    </row>
    <row r="1268" ht="15" customHeight="1" spans="1:14" x14ac:dyDescent="0.25">
      <c r="A1268" s="11" t="s">
        <v>3094</v>
      </c>
      <c r="B1268" s="11">
        <v>10</v>
      </c>
      <c r="C1268" s="12" t="s">
        <v>81</v>
      </c>
      <c r="D1268" s="11" t="s">
        <v>477</v>
      </c>
      <c r="E1268" s="12" t="s">
        <v>478</v>
      </c>
      <c r="F1268" s="12" t="s">
        <v>3095</v>
      </c>
      <c r="G1268" s="11" t="s">
        <v>113</v>
      </c>
      <c r="H1268" s="18" t="str">
        <f>IFERROR(INDEX('المحافظات Governorates'!$E$2:$E$151,MATCH(D1268,'المحافظات Governorates'!$A$2:$A$151,0)),"")</f>
        <v>Al-Aridah</v>
      </c>
      <c r="I1268" s="18" t="str">
        <f>IFERROR(INDEX('المناطق Regions'!$C$2:$C$15,MATCH(B1268,'المناطق Regions'!$A$2:$A$15,0)),"")</f>
        <v>Jazan</v>
      </c>
      <c r="J1268" s="18" t="str">
        <f>F1268&amp;", "&amp;E1268&amp;", Saudi Arabia"</f>
        <v>القصبه, العارضه, Saudi Arabia</v>
      </c>
      <c r="K1268" s="18">
        <v>16.960897</v>
      </c>
      <c r="L1268" s="18">
        <v>43.114006</v>
      </c>
      <c r="M1268" s="18">
        <v>2000</v>
      </c>
      <c r="N1268" s="18" t="s">
        <v>562</v>
      </c>
    </row>
    <row r="1269" ht="15" customHeight="1" spans="1:14" x14ac:dyDescent="0.25">
      <c r="A1269" s="13" t="s">
        <v>3096</v>
      </c>
      <c r="B1269" s="13">
        <v>10</v>
      </c>
      <c r="C1269" s="14" t="s">
        <v>81</v>
      </c>
      <c r="D1269" s="13" t="s">
        <v>477</v>
      </c>
      <c r="E1269" s="14" t="s">
        <v>478</v>
      </c>
      <c r="F1269" s="14" t="s">
        <v>3097</v>
      </c>
      <c r="G1269" s="13" t="s">
        <v>113</v>
      </c>
      <c r="H1269" s="18" t="str">
        <f>IFERROR(INDEX('المحافظات Governorates'!$E$2:$E$151,MATCH(D1269,'المحافظات Governorates'!$A$2:$A$151,0)),"")</f>
        <v>Al-Aridah</v>
      </c>
      <c r="I1269" s="18" t="str">
        <f>IFERROR(INDEX('المناطق Regions'!$C$2:$C$15,MATCH(B1269,'المناطق Regions'!$A$2:$A$15,0)),"")</f>
        <v>Jazan</v>
      </c>
      <c r="J1269" s="18" t="str">
        <f>F1269&amp;", "&amp;E1269&amp;", Saudi Arabia"</f>
        <v>الحميراء, العارضه, Saudi Arabia</v>
      </c>
      <c r="K1269" s="18">
        <v>17.128231</v>
      </c>
      <c r="L1269" s="18">
        <v>43.058581</v>
      </c>
      <c r="M1269" s="18">
        <v>2000</v>
      </c>
      <c r="N1269" s="18" t="s">
        <v>562</v>
      </c>
    </row>
    <row r="1270" ht="15" customHeight="1" spans="1:14" x14ac:dyDescent="0.25">
      <c r="A1270" s="11" t="s">
        <v>3098</v>
      </c>
      <c r="B1270" s="11">
        <v>10</v>
      </c>
      <c r="C1270" s="12" t="s">
        <v>81</v>
      </c>
      <c r="D1270" s="11" t="s">
        <v>480</v>
      </c>
      <c r="E1270" s="12" t="s">
        <v>481</v>
      </c>
      <c r="F1270" s="12" t="s">
        <v>3099</v>
      </c>
      <c r="G1270" s="11" t="s">
        <v>149</v>
      </c>
      <c r="H1270" s="18" t="str">
        <f>IFERROR(INDEX('المحافظات Governorates'!$E$2:$E$151,MATCH(D1270,'المحافظات Governorates'!$A$2:$A$151,0)),"")</f>
        <v>Ad-Darb</v>
      </c>
      <c r="I1270" s="18" t="str">
        <f>IFERROR(INDEX('المناطق Regions'!$C$2:$C$15,MATCH(B1270,'المناطق Regions'!$A$2:$A$15,0)),"")</f>
        <v>Jazan</v>
      </c>
      <c r="J1270" s="18" t="str">
        <f>F1270&amp;", "&amp;E1270&amp;", Saudi Arabia"</f>
        <v>ريم, الدرب, Saudi Arabia</v>
      </c>
      <c r="K1270" s="18">
        <v>17.754515</v>
      </c>
      <c r="L1270" s="18">
        <v>42.071795</v>
      </c>
      <c r="M1270" s="18">
        <v>2000</v>
      </c>
      <c r="N1270" s="18" t="s">
        <v>562</v>
      </c>
    </row>
    <row r="1271" ht="15" customHeight="1" spans="1:14" x14ac:dyDescent="0.25">
      <c r="A1271" s="13" t="s">
        <v>3100</v>
      </c>
      <c r="B1271" s="13">
        <v>10</v>
      </c>
      <c r="C1271" s="14" t="s">
        <v>81</v>
      </c>
      <c r="D1271" s="13" t="s">
        <v>480</v>
      </c>
      <c r="E1271" s="14" t="s">
        <v>481</v>
      </c>
      <c r="F1271" s="14" t="s">
        <v>2888</v>
      </c>
      <c r="G1271" s="13" t="s">
        <v>113</v>
      </c>
      <c r="H1271" s="18" t="str">
        <f>IFERROR(INDEX('المحافظات Governorates'!$E$2:$E$151,MATCH(D1271,'المحافظات Governorates'!$A$2:$A$151,0)),"")</f>
        <v>Ad-Darb</v>
      </c>
      <c r="I1271" s="18" t="str">
        <f>IFERROR(INDEX('المناطق Regions'!$C$2:$C$15,MATCH(B1271,'المناطق Regions'!$A$2:$A$15,0)),"")</f>
        <v>Jazan</v>
      </c>
      <c r="J1271" s="18" t="str">
        <f>F1271&amp;", "&amp;E1271&amp;", Saudi Arabia"</f>
        <v>الشقيق, الدرب, Saudi Arabia</v>
      </c>
      <c r="K1271" s="18">
        <v>17.721753</v>
      </c>
      <c r="L1271" s="18">
        <v>42.026011</v>
      </c>
      <c r="M1271" s="18">
        <v>2000</v>
      </c>
      <c r="N1271" s="18" t="s">
        <v>562</v>
      </c>
    </row>
    <row r="1272" ht="15" customHeight="1" spans="1:14" x14ac:dyDescent="0.25">
      <c r="A1272" s="11" t="s">
        <v>3101</v>
      </c>
      <c r="B1272" s="11">
        <v>10</v>
      </c>
      <c r="C1272" s="12" t="s">
        <v>81</v>
      </c>
      <c r="D1272" s="11" t="s">
        <v>480</v>
      </c>
      <c r="E1272" s="12" t="s">
        <v>481</v>
      </c>
      <c r="F1272" s="12" t="s">
        <v>3102</v>
      </c>
      <c r="G1272" s="11" t="s">
        <v>113</v>
      </c>
      <c r="H1272" s="18" t="str">
        <f>IFERROR(INDEX('المحافظات Governorates'!$E$2:$E$151,MATCH(D1272,'المحافظات Governorates'!$A$2:$A$151,0)),"")</f>
        <v>Ad-Darb</v>
      </c>
      <c r="I1272" s="18" t="str">
        <f>IFERROR(INDEX('المناطق Regions'!$C$2:$C$15,MATCH(B1272,'المناطق Regions'!$A$2:$A$15,0)),"")</f>
        <v>Jazan</v>
      </c>
      <c r="J1272" s="18" t="str">
        <f>F1272&amp;", "&amp;E1272&amp;", Saudi Arabia"</f>
        <v>عتود, الدرب, Saudi Arabia</v>
      </c>
      <c r="K1272" s="18">
        <v>17.713504</v>
      </c>
      <c r="L1272" s="18">
        <v>42.24251</v>
      </c>
      <c r="M1272" s="18">
        <v>2000</v>
      </c>
      <c r="N1272" s="18" t="s">
        <v>562</v>
      </c>
    </row>
    <row r="1273" ht="15" customHeight="1" spans="1:14" x14ac:dyDescent="0.25">
      <c r="A1273" s="13" t="s">
        <v>3103</v>
      </c>
      <c r="B1273" s="13">
        <v>10</v>
      </c>
      <c r="C1273" s="14" t="s">
        <v>81</v>
      </c>
      <c r="D1273" s="13" t="s">
        <v>480</v>
      </c>
      <c r="E1273" s="14" t="s">
        <v>481</v>
      </c>
      <c r="F1273" s="14" t="s">
        <v>3104</v>
      </c>
      <c r="G1273" s="13" t="s">
        <v>149</v>
      </c>
      <c r="H1273" s="18" t="str">
        <f>IFERROR(INDEX('المحافظات Governorates'!$E$2:$E$151,MATCH(D1273,'المحافظات Governorates'!$A$2:$A$151,0)),"")</f>
        <v>Ad-Darb</v>
      </c>
      <c r="I1273" s="18" t="str">
        <f>IFERROR(INDEX('المناطق Regions'!$C$2:$C$15,MATCH(B1273,'المناطق Regions'!$A$2:$A$15,0)),"")</f>
        <v>Jazan</v>
      </c>
      <c r="J1273" s="18" t="str">
        <f>F1273&amp;", "&amp;E1273&amp;", Saudi Arabia"</f>
        <v>سمرة, الدرب, Saudi Arabia</v>
      </c>
      <c r="K1273" s="18">
        <v>17.530458</v>
      </c>
      <c r="L1273" s="18">
        <v>42.285433</v>
      </c>
      <c r="M1273" s="18">
        <v>2000</v>
      </c>
      <c r="N1273" s="18" t="s">
        <v>562</v>
      </c>
    </row>
    <row r="1274" ht="15" customHeight="1" spans="1:14" x14ac:dyDescent="0.25">
      <c r="A1274" s="11" t="s">
        <v>3105</v>
      </c>
      <c r="B1274" s="11">
        <v>10</v>
      </c>
      <c r="C1274" s="12" t="s">
        <v>81</v>
      </c>
      <c r="D1274" s="11" t="s">
        <v>483</v>
      </c>
      <c r="E1274" s="12" t="s">
        <v>484</v>
      </c>
      <c r="F1274" s="12" t="s">
        <v>3106</v>
      </c>
      <c r="G1274" s="11" t="s">
        <v>113</v>
      </c>
      <c r="H1274" s="18" t="str">
        <f>IFERROR(INDEX('المحافظات Governorates'!$E$2:$E$151,MATCH(D1274,'المحافظات Governorates'!$A$2:$A$151,0)),"")</f>
        <v>At-Tuwal</v>
      </c>
      <c r="I1274" s="18" t="str">
        <f>IFERROR(INDEX('المناطق Regions'!$C$2:$C$15,MATCH(B1274,'المناطق Regions'!$A$2:$A$15,0)),"")</f>
        <v>Jazan</v>
      </c>
      <c r="J1274" s="18" t="str">
        <f>F1274&amp;", "&amp;E1274&amp;", Saudi Arabia"</f>
        <v>الموسم, الطوال, Saudi Arabia</v>
      </c>
      <c r="K1274" s="18">
        <v>16.418437</v>
      </c>
      <c r="L1274" s="18">
        <v>42.826305</v>
      </c>
      <c r="M1274" s="18">
        <v>2000</v>
      </c>
      <c r="N1274" s="18" t="s">
        <v>562</v>
      </c>
    </row>
    <row r="1275" ht="15" customHeight="1" spans="1:14" x14ac:dyDescent="0.25">
      <c r="A1275" s="13" t="s">
        <v>3107</v>
      </c>
      <c r="B1275" s="13">
        <v>10</v>
      </c>
      <c r="C1275" s="14" t="s">
        <v>81</v>
      </c>
      <c r="D1275" s="13" t="s">
        <v>486</v>
      </c>
      <c r="E1275" s="14" t="s">
        <v>487</v>
      </c>
      <c r="F1275" s="14" t="s">
        <v>3108</v>
      </c>
      <c r="G1275" s="13" t="s">
        <v>113</v>
      </c>
      <c r="H1275" s="18" t="str">
        <f>IFERROR(INDEX('المحافظات Governorates'!$E$2:$E$151,MATCH(D1275,'المحافظات Governorates'!$A$2:$A$151,0)),"")</f>
        <v>Harub</v>
      </c>
      <c r="I1275" s="18" t="str">
        <f>IFERROR(INDEX('المناطق Regions'!$C$2:$C$15,MATCH(B1275,'المناطق Regions'!$A$2:$A$15,0)),"")</f>
        <v>Jazan</v>
      </c>
      <c r="J1275" s="18" t="str">
        <f>F1275&amp;", "&amp;E1275&amp;", Saudi Arabia"</f>
        <v>منجد, هروب, Saudi Arabia</v>
      </c>
      <c r="K1275" s="18">
        <v>17.431684</v>
      </c>
      <c r="L1275" s="18">
        <v>42.911773</v>
      </c>
      <c r="M1275" s="18">
        <v>2000</v>
      </c>
      <c r="N1275" s="18" t="s">
        <v>562</v>
      </c>
    </row>
    <row r="1276" ht="15" customHeight="1" spans="1:14" x14ac:dyDescent="0.25">
      <c r="A1276" s="11" t="s">
        <v>3109</v>
      </c>
      <c r="B1276" s="11">
        <v>10</v>
      </c>
      <c r="C1276" s="12" t="s">
        <v>81</v>
      </c>
      <c r="D1276" s="11" t="s">
        <v>486</v>
      </c>
      <c r="E1276" s="12" t="s">
        <v>487</v>
      </c>
      <c r="F1276" s="12" t="s">
        <v>3110</v>
      </c>
      <c r="G1276" s="11" t="s">
        <v>149</v>
      </c>
      <c r="H1276" s="18" t="str">
        <f>IFERROR(INDEX('المحافظات Governorates'!$E$2:$E$151,MATCH(D1276,'المحافظات Governorates'!$A$2:$A$151,0)),"")</f>
        <v>Harub</v>
      </c>
      <c r="I1276" s="18" t="str">
        <f>IFERROR(INDEX('المناطق Regions'!$C$2:$C$15,MATCH(B1276,'المناطق Regions'!$A$2:$A$15,0)),"")</f>
        <v>Jazan</v>
      </c>
      <c r="J1276" s="18" t="str">
        <f>F1276&amp;", "&amp;E1276&amp;", Saudi Arabia"</f>
        <v>وساع, هروب, Saudi Arabia</v>
      </c>
      <c r="K1276" s="18">
        <v>17.477795</v>
      </c>
      <c r="L1276" s="18">
        <v>42.893652</v>
      </c>
      <c r="M1276" s="18">
        <v>2000</v>
      </c>
      <c r="N1276" s="18" t="s">
        <v>562</v>
      </c>
    </row>
    <row r="1277" ht="15" customHeight="1" spans="1:14" x14ac:dyDescent="0.25">
      <c r="A1277" s="13" t="s">
        <v>3111</v>
      </c>
      <c r="B1277" s="13">
        <v>10</v>
      </c>
      <c r="C1277" s="14" t="s">
        <v>81</v>
      </c>
      <c r="D1277" s="13" t="s">
        <v>486</v>
      </c>
      <c r="E1277" s="14" t="s">
        <v>487</v>
      </c>
      <c r="F1277" s="14" t="s">
        <v>3112</v>
      </c>
      <c r="G1277" s="13" t="s">
        <v>149</v>
      </c>
      <c r="H1277" s="18" t="str">
        <f>IFERROR(INDEX('المحافظات Governorates'!$E$2:$E$151,MATCH(D1277,'المحافظات Governorates'!$A$2:$A$151,0)),"")</f>
        <v>Harub</v>
      </c>
      <c r="I1277" s="18" t="str">
        <f>IFERROR(INDEX('المناطق Regions'!$C$2:$C$15,MATCH(B1277,'المناطق Regions'!$A$2:$A$15,0)),"")</f>
        <v>Jazan</v>
      </c>
      <c r="J1277" s="18" t="str">
        <f>F1277&amp;", "&amp;E1277&amp;", Saudi Arabia"</f>
        <v>وادي رزان, هروب, Saudi Arabia</v>
      </c>
      <c r="K1277" s="18">
        <v>17.467667</v>
      </c>
      <c r="L1277" s="18">
        <v>42.841296</v>
      </c>
      <c r="M1277" s="18">
        <v>2000</v>
      </c>
      <c r="N1277" s="18" t="s">
        <v>562</v>
      </c>
    </row>
    <row r="1278" ht="15" customHeight="1" spans="1:14" x14ac:dyDescent="0.25">
      <c r="A1278" s="11" t="s">
        <v>3113</v>
      </c>
      <c r="B1278" s="11">
        <v>10</v>
      </c>
      <c r="C1278" s="12" t="s">
        <v>81</v>
      </c>
      <c r="D1278" s="11" t="s">
        <v>486</v>
      </c>
      <c r="E1278" s="12" t="s">
        <v>487</v>
      </c>
      <c r="F1278" s="12" t="s">
        <v>3114</v>
      </c>
      <c r="G1278" s="11" t="s">
        <v>149</v>
      </c>
      <c r="H1278" s="18" t="str">
        <f>IFERROR(INDEX('المحافظات Governorates'!$E$2:$E$151,MATCH(D1278,'المحافظات Governorates'!$A$2:$A$151,0)),"")</f>
        <v>Harub</v>
      </c>
      <c r="I1278" s="18" t="str">
        <f>IFERROR(INDEX('المناطق Regions'!$C$2:$C$15,MATCH(B1278,'المناطق Regions'!$A$2:$A$15,0)),"")</f>
        <v>Jazan</v>
      </c>
      <c r="J1278" s="18" t="str">
        <f>F1278&amp;", "&amp;E1278&amp;", Saudi Arabia"</f>
        <v>جبل الجوين, هروب, Saudi Arabia</v>
      </c>
      <c r="K1278" s="18">
        <v>17.466198</v>
      </c>
      <c r="L1278" s="18">
        <v>42.907882</v>
      </c>
      <c r="M1278" s="18">
        <v>2000</v>
      </c>
      <c r="N1278" s="18" t="s">
        <v>562</v>
      </c>
    </row>
    <row r="1279" ht="15" customHeight="1" spans="1:14" x14ac:dyDescent="0.25">
      <c r="A1279" s="13" t="s">
        <v>3115</v>
      </c>
      <c r="B1279" s="13">
        <v>10</v>
      </c>
      <c r="C1279" s="14" t="s">
        <v>81</v>
      </c>
      <c r="D1279" s="13" t="s">
        <v>486</v>
      </c>
      <c r="E1279" s="14" t="s">
        <v>487</v>
      </c>
      <c r="F1279" s="14" t="s">
        <v>3116</v>
      </c>
      <c r="G1279" s="13" t="s">
        <v>149</v>
      </c>
      <c r="H1279" s="18" t="str">
        <f>IFERROR(INDEX('المحافظات Governorates'!$E$2:$E$151,MATCH(D1279,'المحافظات Governorates'!$A$2:$A$151,0)),"")</f>
        <v>Harub</v>
      </c>
      <c r="I1279" s="18" t="str">
        <f>IFERROR(INDEX('المناطق Regions'!$C$2:$C$15,MATCH(B1279,'المناطق Regions'!$A$2:$A$15,0)),"")</f>
        <v>Jazan</v>
      </c>
      <c r="J1279" s="18" t="str">
        <f>F1279&amp;", "&amp;E1279&amp;", Saudi Arabia"</f>
        <v>حجن, هروب, Saudi Arabia</v>
      </c>
      <c r="K1279" s="18">
        <v>17.432202</v>
      </c>
      <c r="L1279" s="18">
        <v>42.964893</v>
      </c>
      <c r="M1279" s="18">
        <v>2000</v>
      </c>
      <c r="N1279" s="18" t="s">
        <v>562</v>
      </c>
    </row>
    <row r="1280" ht="15" customHeight="1" spans="1:14" x14ac:dyDescent="0.25">
      <c r="A1280" s="11" t="s">
        <v>3117</v>
      </c>
      <c r="B1280" s="11">
        <v>11</v>
      </c>
      <c r="C1280" s="12" t="s">
        <v>84</v>
      </c>
      <c r="D1280" s="11" t="s">
        <v>492</v>
      </c>
      <c r="E1280" s="12" t="s">
        <v>84</v>
      </c>
      <c r="F1280" s="12" t="s">
        <v>3118</v>
      </c>
      <c r="G1280" s="11" t="s">
        <v>113</v>
      </c>
      <c r="H1280" s="18" t="str">
        <f>IFERROR(INDEX('المحافظات Governorates'!$E$2:$E$151,MATCH(D1280,'المحافظات Governorates'!$A$2:$A$151,0)),"")</f>
        <v>Najran</v>
      </c>
      <c r="I1280" s="18" t="str">
        <f>IFERROR(INDEX('المناطق Regions'!$C$2:$C$15,MATCH(B1280,'المناطق Regions'!$A$2:$A$15,0)),"")</f>
        <v>Najran</v>
      </c>
      <c r="J1280" s="18" t="str">
        <f>F1280&amp;", "&amp;E1280&amp;", Saudi Arabia"</f>
        <v>بئر عسكر, نجران, Saudi Arabia</v>
      </c>
      <c r="K1280" s="18">
        <v>17.593328</v>
      </c>
      <c r="L1280" s="18">
        <v>44.082146</v>
      </c>
      <c r="M1280" s="18">
        <v>2000</v>
      </c>
      <c r="N1280" s="18" t="s">
        <v>562</v>
      </c>
    </row>
    <row r="1281" ht="15" customHeight="1" spans="1:14" x14ac:dyDescent="0.25">
      <c r="A1281" s="13" t="s">
        <v>3119</v>
      </c>
      <c r="B1281" s="13">
        <v>11</v>
      </c>
      <c r="C1281" s="14" t="s">
        <v>84</v>
      </c>
      <c r="D1281" s="13" t="s">
        <v>492</v>
      </c>
      <c r="E1281" s="14" t="s">
        <v>84</v>
      </c>
      <c r="F1281" s="14" t="s">
        <v>3120</v>
      </c>
      <c r="G1281" s="13" t="s">
        <v>113</v>
      </c>
      <c r="H1281" s="18" t="str">
        <f>IFERROR(INDEX('المحافظات Governorates'!$E$2:$E$151,MATCH(D1281,'المحافظات Governorates'!$A$2:$A$151,0)),"")</f>
        <v>Najran</v>
      </c>
      <c r="I1281" s="18" t="str">
        <f>IFERROR(INDEX('المناطق Regions'!$C$2:$C$15,MATCH(B1281,'المناطق Regions'!$A$2:$A$15,0)),"")</f>
        <v>Najran</v>
      </c>
      <c r="J1281" s="18" t="str">
        <f>F1281&amp;", "&amp;E1281&amp;", Saudi Arabia"</f>
        <v>عاكفه, نجران, Saudi Arabia</v>
      </c>
      <c r="K1281" s="18">
        <v>17.586985</v>
      </c>
      <c r="L1281" s="18">
        <v>44.175514</v>
      </c>
      <c r="M1281" s="18">
        <v>60323</v>
      </c>
      <c r="N1281" s="18" t="s">
        <v>3121</v>
      </c>
    </row>
    <row r="1282" ht="15" customHeight="1" spans="1:14" x14ac:dyDescent="0.25">
      <c r="A1282" s="11" t="s">
        <v>3122</v>
      </c>
      <c r="B1282" s="11">
        <v>11</v>
      </c>
      <c r="C1282" s="12" t="s">
        <v>84</v>
      </c>
      <c r="D1282" s="11" t="s">
        <v>492</v>
      </c>
      <c r="E1282" s="12" t="s">
        <v>84</v>
      </c>
      <c r="F1282" s="12" t="s">
        <v>3123</v>
      </c>
      <c r="G1282" s="11" t="s">
        <v>149</v>
      </c>
      <c r="H1282" s="18" t="str">
        <f>IFERROR(INDEX('المحافظات Governorates'!$E$2:$E$151,MATCH(D1282,'المحافظات Governorates'!$A$2:$A$151,0)),"")</f>
        <v>Najran</v>
      </c>
      <c r="I1282" s="18" t="str">
        <f>IFERROR(INDEX('المناطق Regions'!$C$2:$C$15,MATCH(B1282,'المناطق Regions'!$A$2:$A$15,0)),"")</f>
        <v>Najran</v>
      </c>
      <c r="J1282" s="18" t="str">
        <f>F1282&amp;", "&amp;E1282&amp;", Saudi Arabia"</f>
        <v>ابا الرشاش, نجران, Saudi Arabia</v>
      </c>
      <c r="K1282" s="18">
        <v>17.597967</v>
      </c>
      <c r="L1282" s="18">
        <v>44.240227</v>
      </c>
      <c r="M1282" s="18">
        <v>2000</v>
      </c>
      <c r="N1282" s="18" t="s">
        <v>562</v>
      </c>
    </row>
    <row r="1283" ht="15" customHeight="1" spans="1:14" x14ac:dyDescent="0.25">
      <c r="A1283" s="13" t="s">
        <v>3124</v>
      </c>
      <c r="B1283" s="13">
        <v>11</v>
      </c>
      <c r="C1283" s="14" t="s">
        <v>84</v>
      </c>
      <c r="D1283" s="13" t="s">
        <v>492</v>
      </c>
      <c r="E1283" s="14" t="s">
        <v>84</v>
      </c>
      <c r="F1283" s="14" t="s">
        <v>3125</v>
      </c>
      <c r="G1283" s="13" t="s">
        <v>113</v>
      </c>
      <c r="H1283" s="18" t="str">
        <f>IFERROR(INDEX('المحافظات Governorates'!$E$2:$E$151,MATCH(D1283,'المحافظات Governorates'!$A$2:$A$151,0)),"")</f>
        <v>Najran</v>
      </c>
      <c r="I1283" s="18" t="str">
        <f>IFERROR(INDEX('المناطق Regions'!$C$2:$C$15,MATCH(B1283,'المناطق Regions'!$A$2:$A$15,0)),"")</f>
        <v>Najran</v>
      </c>
      <c r="J1283" s="18" t="str">
        <f>F1283&amp;", "&amp;E1283&amp;", Saudi Arabia"</f>
        <v>المشعلية, نجران, Saudi Arabia</v>
      </c>
      <c r="K1283" s="18">
        <v>17.757828</v>
      </c>
      <c r="L1283" s="18">
        <v>44.46435</v>
      </c>
      <c r="M1283" s="18">
        <v>2000</v>
      </c>
      <c r="N1283" s="18" t="s">
        <v>562</v>
      </c>
    </row>
    <row r="1284" ht="15" customHeight="1" spans="1:14" x14ac:dyDescent="0.25">
      <c r="A1284" s="11" t="s">
        <v>3126</v>
      </c>
      <c r="B1284" s="11">
        <v>11</v>
      </c>
      <c r="C1284" s="12" t="s">
        <v>84</v>
      </c>
      <c r="D1284" s="11" t="s">
        <v>492</v>
      </c>
      <c r="E1284" s="12" t="s">
        <v>84</v>
      </c>
      <c r="F1284" s="12" t="s">
        <v>3127</v>
      </c>
      <c r="G1284" s="11" t="s">
        <v>113</v>
      </c>
      <c r="H1284" s="18" t="str">
        <f>IFERROR(INDEX('المحافظات Governorates'!$E$2:$E$151,MATCH(D1284,'المحافظات Governorates'!$A$2:$A$151,0)),"")</f>
        <v>Najran</v>
      </c>
      <c r="I1284" s="18" t="str">
        <f>IFERROR(INDEX('المناطق Regions'!$C$2:$C$15,MATCH(B1284,'المناطق Regions'!$A$2:$A$15,0)),"")</f>
        <v>Najran</v>
      </c>
      <c r="J1284" s="18" t="str">
        <f>F1284&amp;", "&amp;E1284&amp;", Saudi Arabia"</f>
        <v>الحصينية, نجران, Saudi Arabia</v>
      </c>
      <c r="K1284" s="18">
        <v>17.814631</v>
      </c>
      <c r="L1284" s="18">
        <v>44.445491</v>
      </c>
      <c r="M1284" s="18">
        <v>2000</v>
      </c>
      <c r="N1284" s="18" t="s">
        <v>562</v>
      </c>
    </row>
    <row r="1285" ht="15" customHeight="1" spans="1:14" x14ac:dyDescent="0.25">
      <c r="A1285" s="13" t="s">
        <v>3128</v>
      </c>
      <c r="B1285" s="13">
        <v>11</v>
      </c>
      <c r="C1285" s="14" t="s">
        <v>84</v>
      </c>
      <c r="D1285" s="13" t="s">
        <v>492</v>
      </c>
      <c r="E1285" s="14" t="s">
        <v>84</v>
      </c>
      <c r="F1285" s="14" t="s">
        <v>3129</v>
      </c>
      <c r="G1285" s="13" t="s">
        <v>113</v>
      </c>
      <c r="H1285" s="18" t="str">
        <f>IFERROR(INDEX('المحافظات Governorates'!$E$2:$E$151,MATCH(D1285,'المحافظات Governorates'!$A$2:$A$151,0)),"")</f>
        <v>Najran</v>
      </c>
      <c r="I1285" s="18" t="str">
        <f>IFERROR(INDEX('المناطق Regions'!$C$2:$C$15,MATCH(B1285,'المناطق Regions'!$A$2:$A$15,0)),"")</f>
        <v>Najran</v>
      </c>
      <c r="J1285" s="18" t="str">
        <f>F1285&amp;", "&amp;E1285&amp;", Saudi Arabia"</f>
        <v>الخرعاء, نجران, Saudi Arabia</v>
      </c>
      <c r="K1285" s="18">
        <v>17.553209</v>
      </c>
      <c r="L1285" s="18">
        <v>44.519348</v>
      </c>
      <c r="M1285" s="18">
        <v>2000</v>
      </c>
      <c r="N1285" s="18" t="s">
        <v>562</v>
      </c>
    </row>
    <row r="1286" ht="15" customHeight="1" spans="1:14" x14ac:dyDescent="0.25">
      <c r="A1286" s="11" t="s">
        <v>3130</v>
      </c>
      <c r="B1286" s="11">
        <v>11</v>
      </c>
      <c r="C1286" s="12" t="s">
        <v>84</v>
      </c>
      <c r="D1286" s="11" t="s">
        <v>493</v>
      </c>
      <c r="E1286" s="12" t="s">
        <v>494</v>
      </c>
      <c r="F1286" s="12" t="s">
        <v>3131</v>
      </c>
      <c r="G1286" s="11" t="s">
        <v>113</v>
      </c>
      <c r="H1286" s="18" t="str">
        <f>IFERROR(INDEX('المحافظات Governorates'!$E$2:$E$151,MATCH(D1286,'المحافظات Governorates'!$A$2:$A$151,0)),"")</f>
        <v>Sharurah</v>
      </c>
      <c r="I1286" s="18" t="str">
        <f>IFERROR(INDEX('المناطق Regions'!$C$2:$C$15,MATCH(B1286,'المناطق Regions'!$A$2:$A$15,0)),"")</f>
        <v>Najran</v>
      </c>
      <c r="J1286" s="18" t="str">
        <f>F1286&amp;", "&amp;E1286&amp;", Saudi Arabia"</f>
        <v>الوديعه, شروره, Saudi Arabia</v>
      </c>
      <c r="K1286" s="18">
        <v>17.057509</v>
      </c>
      <c r="L1286" s="18">
        <v>47.088146</v>
      </c>
      <c r="M1286" s="18">
        <v>2000</v>
      </c>
      <c r="N1286" s="18" t="s">
        <v>562</v>
      </c>
    </row>
    <row r="1287" ht="15" customHeight="1" spans="1:14" x14ac:dyDescent="0.25">
      <c r="A1287" s="13" t="s">
        <v>3132</v>
      </c>
      <c r="B1287" s="13">
        <v>11</v>
      </c>
      <c r="C1287" s="14" t="s">
        <v>84</v>
      </c>
      <c r="D1287" s="13" t="s">
        <v>493</v>
      </c>
      <c r="E1287" s="14" t="s">
        <v>494</v>
      </c>
      <c r="F1287" s="14" t="s">
        <v>3133</v>
      </c>
      <c r="G1287" s="13" t="s">
        <v>113</v>
      </c>
      <c r="H1287" s="18" t="str">
        <f>IFERROR(INDEX('المحافظات Governorates'!$E$2:$E$151,MATCH(D1287,'المحافظات Governorates'!$A$2:$A$151,0)),"")</f>
        <v>Sharurah</v>
      </c>
      <c r="I1287" s="18" t="str">
        <f>IFERROR(INDEX('المناطق Regions'!$C$2:$C$15,MATCH(B1287,'المناطق Regions'!$A$2:$A$15,0)),"")</f>
        <v>Najran</v>
      </c>
      <c r="J1287" s="18" t="str">
        <f>F1287&amp;", "&amp;E1287&amp;", Saudi Arabia"</f>
        <v>تماني, شروره, Saudi Arabia</v>
      </c>
      <c r="K1287" s="18">
        <v>17.7294</v>
      </c>
      <c r="L1287" s="18">
        <v>46.1439</v>
      </c>
      <c r="M1287" s="18">
        <v>2000</v>
      </c>
      <c r="N1287" s="18" t="s">
        <v>562</v>
      </c>
    </row>
    <row r="1288" ht="15" customHeight="1" spans="1:14" x14ac:dyDescent="0.25">
      <c r="A1288" s="11" t="s">
        <v>3134</v>
      </c>
      <c r="B1288" s="11">
        <v>11</v>
      </c>
      <c r="C1288" s="12" t="s">
        <v>84</v>
      </c>
      <c r="D1288" s="11" t="s">
        <v>493</v>
      </c>
      <c r="E1288" s="12" t="s">
        <v>494</v>
      </c>
      <c r="F1288" s="12" t="s">
        <v>3135</v>
      </c>
      <c r="G1288" s="11" t="s">
        <v>149</v>
      </c>
      <c r="H1288" s="18" t="str">
        <f>IFERROR(INDEX('المحافظات Governorates'!$E$2:$E$151,MATCH(D1288,'المحافظات Governorates'!$A$2:$A$151,0)),"")</f>
        <v>Sharurah</v>
      </c>
      <c r="I1288" s="18" t="str">
        <f>IFERROR(INDEX('المناطق Regions'!$C$2:$C$15,MATCH(B1288,'المناطق Regions'!$A$2:$A$15,0)),"")</f>
        <v>Najran</v>
      </c>
      <c r="J1288" s="18" t="str">
        <f>F1288&amp;", "&amp;E1288&amp;", Saudi Arabia"</f>
        <v>حمراء نثيل, شروره, Saudi Arabia</v>
      </c>
      <c r="K1288" s="18">
        <v>18.49361</v>
      </c>
      <c r="L1288" s="18">
        <v>46.50833</v>
      </c>
      <c r="M1288" s="18">
        <v>2000</v>
      </c>
      <c r="N1288" s="18" t="s">
        <v>562</v>
      </c>
    </row>
    <row r="1289" ht="15" customHeight="1" spans="1:14" x14ac:dyDescent="0.25">
      <c r="A1289" s="13" t="s">
        <v>3136</v>
      </c>
      <c r="B1289" s="13">
        <v>11</v>
      </c>
      <c r="C1289" s="14" t="s">
        <v>84</v>
      </c>
      <c r="D1289" s="13" t="s">
        <v>493</v>
      </c>
      <c r="E1289" s="14" t="s">
        <v>494</v>
      </c>
      <c r="F1289" s="14" t="s">
        <v>3137</v>
      </c>
      <c r="G1289" s="13" t="s">
        <v>149</v>
      </c>
      <c r="H1289" s="18" t="str">
        <f>IFERROR(INDEX('المحافظات Governorates'!$E$2:$E$151,MATCH(D1289,'المحافظات Governorates'!$A$2:$A$151,0)),"")</f>
        <v>Sharurah</v>
      </c>
      <c r="I1289" s="18" t="str">
        <f>IFERROR(INDEX('المناطق Regions'!$C$2:$C$15,MATCH(B1289,'المناطق Regions'!$A$2:$A$15,0)),"")</f>
        <v>Najran</v>
      </c>
      <c r="J1289" s="18" t="str">
        <f>F1289&amp;", "&amp;E1289&amp;", Saudi Arabia"</f>
        <v>قلمه خجيم, شروره, Saudi Arabia</v>
      </c>
      <c r="K1289" s="18">
        <v>18.546557</v>
      </c>
      <c r="L1289" s="18">
        <v>48.048005</v>
      </c>
      <c r="M1289" s="18">
        <v>365489</v>
      </c>
      <c r="N1289" s="18" t="s">
        <v>3138</v>
      </c>
    </row>
    <row r="1290" ht="15" customHeight="1" spans="1:14" x14ac:dyDescent="0.25">
      <c r="A1290" s="11" t="s">
        <v>3139</v>
      </c>
      <c r="B1290" s="11">
        <v>11</v>
      </c>
      <c r="C1290" s="12" t="s">
        <v>84</v>
      </c>
      <c r="D1290" s="11" t="s">
        <v>493</v>
      </c>
      <c r="E1290" s="12" t="s">
        <v>494</v>
      </c>
      <c r="F1290" s="12" t="s">
        <v>3140</v>
      </c>
      <c r="G1290" s="11" t="s">
        <v>149</v>
      </c>
      <c r="H1290" s="18" t="str">
        <f>IFERROR(INDEX('المحافظات Governorates'!$E$2:$E$151,MATCH(D1290,'المحافظات Governorates'!$A$2:$A$151,0)),"")</f>
        <v>Sharurah</v>
      </c>
      <c r="I1290" s="18" t="str">
        <f>IFERROR(INDEX('المناطق Regions'!$C$2:$C$15,MATCH(B1290,'المناطق Regions'!$A$2:$A$15,0)),"")</f>
        <v>Najran</v>
      </c>
      <c r="J1290" s="18" t="str">
        <f>F1290&amp;", "&amp;E1290&amp;", Saudi Arabia"</f>
        <v>الاخاشيم, شروره, Saudi Arabia</v>
      </c>
      <c r="K1290" s="18">
        <v>17.725666</v>
      </c>
      <c r="L1290" s="18">
        <v>47.213915</v>
      </c>
      <c r="M1290" s="18">
        <v>2000</v>
      </c>
      <c r="N1290" s="18" t="s">
        <v>562</v>
      </c>
    </row>
    <row r="1291" ht="15" customHeight="1" spans="1:14" x14ac:dyDescent="0.25">
      <c r="A1291" s="13" t="s">
        <v>3141</v>
      </c>
      <c r="B1291" s="13">
        <v>11</v>
      </c>
      <c r="C1291" s="14" t="s">
        <v>84</v>
      </c>
      <c r="D1291" s="13" t="s">
        <v>493</v>
      </c>
      <c r="E1291" s="14" t="s">
        <v>494</v>
      </c>
      <c r="F1291" s="14" t="s">
        <v>3142</v>
      </c>
      <c r="G1291" s="13" t="s">
        <v>149</v>
      </c>
      <c r="H1291" s="18" t="str">
        <f>IFERROR(INDEX('المحافظات Governorates'!$E$2:$E$151,MATCH(D1291,'المحافظات Governorates'!$A$2:$A$151,0)),"")</f>
        <v>Sharurah</v>
      </c>
      <c r="I1291" s="18" t="str">
        <f>IFERROR(INDEX('المناطق Regions'!$C$2:$C$15,MATCH(B1291,'المناطق Regions'!$A$2:$A$15,0)),"")</f>
        <v>Najran</v>
      </c>
      <c r="J1291" s="18" t="str">
        <f>F1291&amp;", "&amp;E1291&amp;", Saudi Arabia"</f>
        <v>المعاطيف, شروره, Saudi Arabia</v>
      </c>
      <c r="K1291" s="18">
        <v>18.546557</v>
      </c>
      <c r="L1291" s="18">
        <v>48.048005</v>
      </c>
      <c r="M1291" s="18">
        <v>365489</v>
      </c>
      <c r="N1291" s="18" t="s">
        <v>3138</v>
      </c>
    </row>
    <row r="1292" ht="15" customHeight="1" spans="1:14" x14ac:dyDescent="0.25">
      <c r="A1292" s="11" t="s">
        <v>3143</v>
      </c>
      <c r="B1292" s="11">
        <v>11</v>
      </c>
      <c r="C1292" s="12" t="s">
        <v>84</v>
      </c>
      <c r="D1292" s="11" t="s">
        <v>493</v>
      </c>
      <c r="E1292" s="12" t="s">
        <v>494</v>
      </c>
      <c r="F1292" s="12" t="s">
        <v>3144</v>
      </c>
      <c r="G1292" s="11" t="s">
        <v>149</v>
      </c>
      <c r="H1292" s="18" t="str">
        <f>IFERROR(INDEX('المحافظات Governorates'!$E$2:$E$151,MATCH(D1292,'المحافظات Governorates'!$A$2:$A$151,0)),"")</f>
        <v>Sharurah</v>
      </c>
      <c r="I1292" s="18" t="str">
        <f>IFERROR(INDEX('المناطق Regions'!$C$2:$C$15,MATCH(B1292,'المناطق Regions'!$A$2:$A$15,0)),"")</f>
        <v>Najran</v>
      </c>
      <c r="J1292" s="18" t="str">
        <f>F1292&amp;", "&amp;E1292&amp;", Saudi Arabia"</f>
        <v>ام غارب, شروره, Saudi Arabia</v>
      </c>
      <c r="K1292" s="18">
        <v>18.546557</v>
      </c>
      <c r="L1292" s="18">
        <v>48.048005</v>
      </c>
      <c r="M1292" s="18">
        <v>365489</v>
      </c>
      <c r="N1292" s="18" t="s">
        <v>3138</v>
      </c>
    </row>
    <row r="1293" ht="15" customHeight="1" spans="1:14" x14ac:dyDescent="0.25">
      <c r="A1293" s="13" t="s">
        <v>3145</v>
      </c>
      <c r="B1293" s="13">
        <v>11</v>
      </c>
      <c r="C1293" s="14" t="s">
        <v>84</v>
      </c>
      <c r="D1293" s="13" t="s">
        <v>493</v>
      </c>
      <c r="E1293" s="14" t="s">
        <v>494</v>
      </c>
      <c r="F1293" s="14" t="s">
        <v>2006</v>
      </c>
      <c r="G1293" s="13" t="s">
        <v>149</v>
      </c>
      <c r="H1293" s="18" t="str">
        <f>IFERROR(INDEX('المحافظات Governorates'!$E$2:$E$151,MATCH(D1293,'المحافظات Governorates'!$A$2:$A$151,0)),"")</f>
        <v>Sharurah</v>
      </c>
      <c r="I1293" s="18" t="str">
        <f>IFERROR(INDEX('المناطق Regions'!$C$2:$C$15,MATCH(B1293,'المناطق Regions'!$A$2:$A$15,0)),"")</f>
        <v>Najran</v>
      </c>
      <c r="J1293" s="18" t="str">
        <f>F1293&amp;", "&amp;E1293&amp;", Saudi Arabia"</f>
        <v>البتراء, شروره, Saudi Arabia</v>
      </c>
      <c r="K1293" s="18">
        <v>18.546557</v>
      </c>
      <c r="L1293" s="18">
        <v>48.048005</v>
      </c>
      <c r="M1293" s="18">
        <v>365489</v>
      </c>
      <c r="N1293" s="18" t="s">
        <v>3138</v>
      </c>
    </row>
    <row r="1294" ht="15" customHeight="1" spans="1:14" x14ac:dyDescent="0.25">
      <c r="A1294" s="11" t="s">
        <v>3146</v>
      </c>
      <c r="B1294" s="11">
        <v>11</v>
      </c>
      <c r="C1294" s="12" t="s">
        <v>84</v>
      </c>
      <c r="D1294" s="11" t="s">
        <v>493</v>
      </c>
      <c r="E1294" s="12" t="s">
        <v>494</v>
      </c>
      <c r="F1294" s="12" t="s">
        <v>3147</v>
      </c>
      <c r="G1294" s="11" t="s">
        <v>149</v>
      </c>
      <c r="H1294" s="18" t="str">
        <f>IFERROR(INDEX('المحافظات Governorates'!$E$2:$E$151,MATCH(D1294,'المحافظات Governorates'!$A$2:$A$151,0)),"")</f>
        <v>Sharurah</v>
      </c>
      <c r="I1294" s="18" t="str">
        <f>IFERROR(INDEX('المناطق Regions'!$C$2:$C$15,MATCH(B1294,'المناطق Regions'!$A$2:$A$15,0)),"")</f>
        <v>Najran</v>
      </c>
      <c r="J1294" s="18" t="str">
        <f>F1294&amp;", "&amp;E1294&amp;", Saudi Arabia"</f>
        <v>مجه, شروره, Saudi Arabia</v>
      </c>
      <c r="K1294" s="18">
        <v>18.546557</v>
      </c>
      <c r="L1294" s="18">
        <v>48.048005</v>
      </c>
      <c r="M1294" s="18">
        <v>365489</v>
      </c>
      <c r="N1294" s="18" t="s">
        <v>3138</v>
      </c>
    </row>
    <row r="1295" ht="15" customHeight="1" spans="1:14" x14ac:dyDescent="0.25">
      <c r="A1295" s="13" t="s">
        <v>3148</v>
      </c>
      <c r="B1295" s="13">
        <v>11</v>
      </c>
      <c r="C1295" s="14" t="s">
        <v>84</v>
      </c>
      <c r="D1295" s="13" t="s">
        <v>493</v>
      </c>
      <c r="E1295" s="14" t="s">
        <v>494</v>
      </c>
      <c r="F1295" s="14" t="s">
        <v>1856</v>
      </c>
      <c r="G1295" s="13" t="s">
        <v>149</v>
      </c>
      <c r="H1295" s="18" t="str">
        <f>IFERROR(INDEX('المحافظات Governorates'!$E$2:$E$151,MATCH(D1295,'المحافظات Governorates'!$A$2:$A$151,0)),"")</f>
        <v>Sharurah</v>
      </c>
      <c r="I1295" s="18" t="str">
        <f>IFERROR(INDEX('المناطق Regions'!$C$2:$C$15,MATCH(B1295,'المناطق Regions'!$A$2:$A$15,0)),"")</f>
        <v>Najran</v>
      </c>
      <c r="J1295" s="18" t="str">
        <f>F1295&amp;", "&amp;E1295&amp;", Saudi Arabia"</f>
        <v>الابرق, شروره, Saudi Arabia</v>
      </c>
      <c r="K1295" s="18">
        <v>18.546557</v>
      </c>
      <c r="L1295" s="18">
        <v>48.048005</v>
      </c>
      <c r="M1295" s="18">
        <v>365489</v>
      </c>
      <c r="N1295" s="18" t="s">
        <v>3138</v>
      </c>
    </row>
    <row r="1296" ht="15" customHeight="1" spans="1:14" x14ac:dyDescent="0.25">
      <c r="A1296" s="11" t="s">
        <v>3149</v>
      </c>
      <c r="B1296" s="11">
        <v>11</v>
      </c>
      <c r="C1296" s="12" t="s">
        <v>84</v>
      </c>
      <c r="D1296" s="11" t="s">
        <v>493</v>
      </c>
      <c r="E1296" s="12" t="s">
        <v>494</v>
      </c>
      <c r="F1296" s="12" t="s">
        <v>3150</v>
      </c>
      <c r="G1296" s="11" t="s">
        <v>149</v>
      </c>
      <c r="H1296" s="18" t="str">
        <f>IFERROR(INDEX('المحافظات Governorates'!$E$2:$E$151,MATCH(D1296,'المحافظات Governorates'!$A$2:$A$151,0)),"")</f>
        <v>Sharurah</v>
      </c>
      <c r="I1296" s="18" t="str">
        <f>IFERROR(INDEX('المناطق Regions'!$C$2:$C$15,MATCH(B1296,'المناطق Regions'!$A$2:$A$15,0)),"")</f>
        <v>Najran</v>
      </c>
      <c r="J1296" s="18" t="str">
        <f>F1296&amp;", "&amp;E1296&amp;", Saudi Arabia"</f>
        <v>بهجه, شروره, Saudi Arabia</v>
      </c>
      <c r="K1296" s="18">
        <v>17.380543</v>
      </c>
      <c r="L1296" s="18">
        <v>46.705456</v>
      </c>
      <c r="M1296" s="18">
        <v>2000</v>
      </c>
      <c r="N1296" s="18" t="s">
        <v>562</v>
      </c>
    </row>
    <row r="1297" ht="15" customHeight="1" spans="1:14" x14ac:dyDescent="0.25">
      <c r="A1297" s="13" t="s">
        <v>3151</v>
      </c>
      <c r="B1297" s="13">
        <v>11</v>
      </c>
      <c r="C1297" s="14" t="s">
        <v>84</v>
      </c>
      <c r="D1297" s="13" t="s">
        <v>493</v>
      </c>
      <c r="E1297" s="14" t="s">
        <v>494</v>
      </c>
      <c r="F1297" s="14" t="s">
        <v>3152</v>
      </c>
      <c r="G1297" s="13" t="s">
        <v>113</v>
      </c>
      <c r="H1297" s="18" t="str">
        <f>IFERROR(INDEX('المحافظات Governorates'!$E$2:$E$151,MATCH(D1297,'المحافظات Governorates'!$A$2:$A$151,0)),"")</f>
        <v>Sharurah</v>
      </c>
      <c r="I1297" s="18" t="str">
        <f>IFERROR(INDEX('المناطق Regions'!$C$2:$C$15,MATCH(B1297,'المناطق Regions'!$A$2:$A$15,0)),"")</f>
        <v>Najran</v>
      </c>
      <c r="J1297" s="18" t="str">
        <f>F1297&amp;", "&amp;E1297&amp;", Saudi Arabia"</f>
        <v>منفذ الوديعة, شروره, Saudi Arabia</v>
      </c>
      <c r="K1297" s="18">
        <v>18.546557</v>
      </c>
      <c r="L1297" s="18">
        <v>48.048005</v>
      </c>
      <c r="M1297" s="18">
        <v>365489</v>
      </c>
      <c r="N1297" s="18" t="s">
        <v>3138</v>
      </c>
    </row>
    <row r="1298" ht="15" customHeight="1" spans="1:14" x14ac:dyDescent="0.25">
      <c r="A1298" s="11" t="s">
        <v>3153</v>
      </c>
      <c r="B1298" s="11">
        <v>11</v>
      </c>
      <c r="C1298" s="12" t="s">
        <v>84</v>
      </c>
      <c r="D1298" s="11" t="s">
        <v>493</v>
      </c>
      <c r="E1298" s="12" t="s">
        <v>494</v>
      </c>
      <c r="F1298" s="12" t="s">
        <v>3154</v>
      </c>
      <c r="G1298" s="11" t="s">
        <v>149</v>
      </c>
      <c r="H1298" s="18" t="str">
        <f>IFERROR(INDEX('المحافظات Governorates'!$E$2:$E$151,MATCH(D1298,'المحافظات Governorates'!$A$2:$A$151,0)),"")</f>
        <v>Sharurah</v>
      </c>
      <c r="I1298" s="18" t="str">
        <f>IFERROR(INDEX('المناطق Regions'!$C$2:$C$15,MATCH(B1298,'المناطق Regions'!$A$2:$A$15,0)),"")</f>
        <v>Najran</v>
      </c>
      <c r="J1298" s="18" t="str">
        <f>F1298&amp;", "&amp;E1298&amp;", Saudi Arabia"</f>
        <v>الحايرة, شروره, Saudi Arabia</v>
      </c>
      <c r="K1298" s="18">
        <v>18.546557</v>
      </c>
      <c r="L1298" s="18">
        <v>48.048005</v>
      </c>
      <c r="M1298" s="18">
        <v>365489</v>
      </c>
      <c r="N1298" s="18" t="s">
        <v>3138</v>
      </c>
    </row>
    <row r="1299" ht="15" customHeight="1" spans="1:14" x14ac:dyDescent="0.25">
      <c r="A1299" s="13" t="s">
        <v>3155</v>
      </c>
      <c r="B1299" s="13">
        <v>11</v>
      </c>
      <c r="C1299" s="14" t="s">
        <v>84</v>
      </c>
      <c r="D1299" s="13" t="s">
        <v>493</v>
      </c>
      <c r="E1299" s="14" t="s">
        <v>494</v>
      </c>
      <c r="F1299" s="14" t="s">
        <v>3156</v>
      </c>
      <c r="G1299" s="13" t="s">
        <v>149</v>
      </c>
      <c r="H1299" s="18" t="str">
        <f>IFERROR(INDEX('المحافظات Governorates'!$E$2:$E$151,MATCH(D1299,'المحافظات Governorates'!$A$2:$A$151,0)),"")</f>
        <v>Sharurah</v>
      </c>
      <c r="I1299" s="18" t="str">
        <f>IFERROR(INDEX('المناطق Regions'!$C$2:$C$15,MATCH(B1299,'المناطق Regions'!$A$2:$A$15,0)),"")</f>
        <v>Najran</v>
      </c>
      <c r="J1299" s="18" t="str">
        <f>F1299&amp;", "&amp;E1299&amp;", Saudi Arabia"</f>
        <v>السطحية, شروره, Saudi Arabia</v>
      </c>
      <c r="K1299" s="18">
        <v>18.546557</v>
      </c>
      <c r="L1299" s="18">
        <v>48.048005</v>
      </c>
      <c r="M1299" s="18">
        <v>365489</v>
      </c>
      <c r="N1299" s="18" t="s">
        <v>3138</v>
      </c>
    </row>
    <row r="1300" ht="15" customHeight="1" spans="1:14" x14ac:dyDescent="0.25">
      <c r="A1300" s="11" t="s">
        <v>3157</v>
      </c>
      <c r="B1300" s="11">
        <v>11</v>
      </c>
      <c r="C1300" s="12" t="s">
        <v>84</v>
      </c>
      <c r="D1300" s="11" t="s">
        <v>493</v>
      </c>
      <c r="E1300" s="12" t="s">
        <v>494</v>
      </c>
      <c r="F1300" s="12" t="s">
        <v>3158</v>
      </c>
      <c r="G1300" s="11" t="s">
        <v>149</v>
      </c>
      <c r="H1300" s="18" t="str">
        <f>IFERROR(INDEX('المحافظات Governorates'!$E$2:$E$151,MATCH(D1300,'المحافظات Governorates'!$A$2:$A$151,0)),"")</f>
        <v>Sharurah</v>
      </c>
      <c r="I1300" s="18" t="str">
        <f>IFERROR(INDEX('المناطق Regions'!$C$2:$C$15,MATCH(B1300,'المناطق Regions'!$A$2:$A$15,0)),"")</f>
        <v>Najran</v>
      </c>
      <c r="J1300" s="18" t="str">
        <f>F1300&amp;", "&amp;E1300&amp;", Saudi Arabia"</f>
        <v>سرداب, شروره, Saudi Arabia</v>
      </c>
      <c r="K1300" s="18">
        <v>18.546557</v>
      </c>
      <c r="L1300" s="18">
        <v>48.048005</v>
      </c>
      <c r="M1300" s="18">
        <v>365489</v>
      </c>
      <c r="N1300" s="18" t="s">
        <v>3138</v>
      </c>
    </row>
    <row r="1301" ht="15" customHeight="1" spans="1:14" x14ac:dyDescent="0.25">
      <c r="A1301" s="13" t="s">
        <v>3159</v>
      </c>
      <c r="B1301" s="13">
        <v>11</v>
      </c>
      <c r="C1301" s="14" t="s">
        <v>84</v>
      </c>
      <c r="D1301" s="13" t="s">
        <v>493</v>
      </c>
      <c r="E1301" s="14" t="s">
        <v>494</v>
      </c>
      <c r="F1301" s="14" t="s">
        <v>3160</v>
      </c>
      <c r="G1301" s="13" t="s">
        <v>149</v>
      </c>
      <c r="H1301" s="18" t="str">
        <f>IFERROR(INDEX('المحافظات Governorates'!$E$2:$E$151,MATCH(D1301,'المحافظات Governorates'!$A$2:$A$151,0)),"")</f>
        <v>Sharurah</v>
      </c>
      <c r="I1301" s="18" t="str">
        <f>IFERROR(INDEX('المناطق Regions'!$C$2:$C$15,MATCH(B1301,'المناطق Regions'!$A$2:$A$15,0)),"")</f>
        <v>Najran</v>
      </c>
      <c r="J1301" s="18" t="str">
        <f>F1301&amp;", "&amp;E1301&amp;", Saudi Arabia"</f>
        <v>ام الملح, شروره, Saudi Arabia</v>
      </c>
      <c r="K1301" s="18">
        <v>19.11079</v>
      </c>
      <c r="L1301" s="18">
        <v>50.130325</v>
      </c>
      <c r="M1301" s="18">
        <v>2000</v>
      </c>
      <c r="N1301" s="18" t="s">
        <v>562</v>
      </c>
    </row>
    <row r="1302" ht="15" customHeight="1" spans="1:14" x14ac:dyDescent="0.25">
      <c r="A1302" s="11" t="s">
        <v>3161</v>
      </c>
      <c r="B1302" s="11">
        <v>11</v>
      </c>
      <c r="C1302" s="12" t="s">
        <v>84</v>
      </c>
      <c r="D1302" s="11" t="s">
        <v>496</v>
      </c>
      <c r="E1302" s="12" t="s">
        <v>497</v>
      </c>
      <c r="F1302" s="12" t="s">
        <v>3162</v>
      </c>
      <c r="G1302" s="11" t="s">
        <v>113</v>
      </c>
      <c r="H1302" s="18" t="str">
        <f>IFERROR(INDEX('المحافظات Governorates'!$E$2:$E$151,MATCH(D1302,'المحافظات Governorates'!$A$2:$A$151,0)),"")</f>
        <v>Hubuna</v>
      </c>
      <c r="I1302" s="18" t="str">
        <f>IFERROR(INDEX('المناطق Regions'!$C$2:$C$15,MATCH(B1302,'المناطق Regions'!$A$2:$A$15,0)),"")</f>
        <v>Najran</v>
      </c>
      <c r="J1302" s="18" t="str">
        <f>F1302&amp;", "&amp;E1302&amp;", Saudi Arabia"</f>
        <v>المجمع, حبونا, Saudi Arabia</v>
      </c>
      <c r="K1302" s="18">
        <v>17.764206</v>
      </c>
      <c r="L1302" s="18">
        <v>43.966255</v>
      </c>
      <c r="M1302" s="18">
        <v>2000</v>
      </c>
      <c r="N1302" s="18" t="s">
        <v>562</v>
      </c>
    </row>
    <row r="1303" ht="15" customHeight="1" spans="1:14" x14ac:dyDescent="0.25">
      <c r="A1303" s="13" t="s">
        <v>3163</v>
      </c>
      <c r="B1303" s="13">
        <v>11</v>
      </c>
      <c r="C1303" s="14" t="s">
        <v>84</v>
      </c>
      <c r="D1303" s="13" t="s">
        <v>496</v>
      </c>
      <c r="E1303" s="14" t="s">
        <v>497</v>
      </c>
      <c r="F1303" s="14" t="s">
        <v>3164</v>
      </c>
      <c r="G1303" s="13" t="s">
        <v>149</v>
      </c>
      <c r="H1303" s="18" t="str">
        <f>IFERROR(INDEX('المحافظات Governorates'!$E$2:$E$151,MATCH(D1303,'المحافظات Governorates'!$A$2:$A$151,0)),"")</f>
        <v>Hubuna</v>
      </c>
      <c r="I1303" s="18" t="str">
        <f>IFERROR(INDEX('المناطق Regions'!$C$2:$C$15,MATCH(B1303,'المناطق Regions'!$A$2:$A$15,0)),"")</f>
        <v>Najran</v>
      </c>
      <c r="J1303" s="18" t="str">
        <f>F1303&amp;", "&amp;E1303&amp;", Saudi Arabia"</f>
        <v>سلوه, حبونا, Saudi Arabia</v>
      </c>
      <c r="K1303" s="18">
        <v>17.871844</v>
      </c>
      <c r="L1303" s="18">
        <v>44.183969</v>
      </c>
      <c r="M1303" s="18">
        <v>2000</v>
      </c>
      <c r="N1303" s="18" t="s">
        <v>562</v>
      </c>
    </row>
    <row r="1304" ht="15" customHeight="1" spans="1:14" x14ac:dyDescent="0.25">
      <c r="A1304" s="11" t="s">
        <v>3165</v>
      </c>
      <c r="B1304" s="11">
        <v>11</v>
      </c>
      <c r="C1304" s="12" t="s">
        <v>84</v>
      </c>
      <c r="D1304" s="11" t="s">
        <v>496</v>
      </c>
      <c r="E1304" s="12" t="s">
        <v>497</v>
      </c>
      <c r="F1304" s="12" t="s">
        <v>3166</v>
      </c>
      <c r="G1304" s="11" t="s">
        <v>113</v>
      </c>
      <c r="H1304" s="18" t="str">
        <f>IFERROR(INDEX('المحافظات Governorates'!$E$2:$E$151,MATCH(D1304,'المحافظات Governorates'!$A$2:$A$151,0)),"")</f>
        <v>Hubuna</v>
      </c>
      <c r="I1304" s="18" t="str">
        <f>IFERROR(INDEX('المناطق Regions'!$C$2:$C$15,MATCH(B1304,'المناطق Regions'!$A$2:$A$15,0)),"")</f>
        <v>Najran</v>
      </c>
      <c r="J1304" s="18" t="str">
        <f>F1304&amp;", "&amp;E1304&amp;", Saudi Arabia"</f>
        <v>الحرشف والجفه, حبونا, Saudi Arabia</v>
      </c>
      <c r="K1304" s="18">
        <v>17.786341</v>
      </c>
      <c r="L1304" s="18">
        <v>44.034734</v>
      </c>
      <c r="M1304" s="18">
        <v>31444</v>
      </c>
      <c r="N1304" s="18" t="s">
        <v>3167</v>
      </c>
    </row>
    <row r="1305" ht="15" customHeight="1" spans="1:14" x14ac:dyDescent="0.25">
      <c r="A1305" s="13" t="s">
        <v>3168</v>
      </c>
      <c r="B1305" s="13">
        <v>11</v>
      </c>
      <c r="C1305" s="14" t="s">
        <v>84</v>
      </c>
      <c r="D1305" s="13" t="s">
        <v>499</v>
      </c>
      <c r="E1305" s="14" t="s">
        <v>500</v>
      </c>
      <c r="F1305" s="14" t="s">
        <v>3169</v>
      </c>
      <c r="G1305" s="13" t="s">
        <v>113</v>
      </c>
      <c r="H1305" s="18" t="str">
        <f>IFERROR(INDEX('المحافظات Governorates'!$E$2:$E$151,MATCH(D1305,'المحافظات Governorates'!$A$2:$A$151,0)),"")</f>
        <v>Badr Al-Janub</v>
      </c>
      <c r="I1305" s="18" t="str">
        <f>IFERROR(INDEX('المناطق Regions'!$C$2:$C$15,MATCH(B1305,'المناطق Regions'!$A$2:$A$15,0)),"")</f>
        <v>Najran</v>
      </c>
      <c r="J1305" s="18" t="str">
        <f>F1305&amp;", "&amp;E1305&amp;", Saudi Arabia"</f>
        <v>الخانق, بدر الجنوب, Saudi Arabia</v>
      </c>
      <c r="K1305" s="18">
        <v>17.7335</v>
      </c>
      <c r="L1305" s="18">
        <v>43.7573</v>
      </c>
      <c r="M1305" s="18">
        <v>2000</v>
      </c>
      <c r="N1305" s="18" t="s">
        <v>562</v>
      </c>
    </row>
    <row r="1306" ht="15" customHeight="1" spans="1:14" x14ac:dyDescent="0.25">
      <c r="A1306" s="11" t="s">
        <v>3170</v>
      </c>
      <c r="B1306" s="11">
        <v>11</v>
      </c>
      <c r="C1306" s="12" t="s">
        <v>84</v>
      </c>
      <c r="D1306" s="11" t="s">
        <v>499</v>
      </c>
      <c r="E1306" s="12" t="s">
        <v>500</v>
      </c>
      <c r="F1306" s="12" t="s">
        <v>3171</v>
      </c>
      <c r="G1306" s="11" t="s">
        <v>113</v>
      </c>
      <c r="H1306" s="18" t="str">
        <f>IFERROR(INDEX('المحافظات Governorates'!$E$2:$E$151,MATCH(D1306,'المحافظات Governorates'!$A$2:$A$151,0)),"")</f>
        <v>Badr Al-Janub</v>
      </c>
      <c r="I1306" s="18" t="str">
        <f>IFERROR(INDEX('المناطق Regions'!$C$2:$C$15,MATCH(B1306,'المناطق Regions'!$A$2:$A$15,0)),"")</f>
        <v>Najran</v>
      </c>
      <c r="J1306" s="18" t="str">
        <f>F1306&amp;", "&amp;E1306&amp;", Saudi Arabia"</f>
        <v>هداده, بدر الجنوب, Saudi Arabia</v>
      </c>
      <c r="K1306" s="18">
        <v>17.595184</v>
      </c>
      <c r="L1306" s="18">
        <v>43.73138</v>
      </c>
      <c r="M1306" s="18">
        <v>2000</v>
      </c>
      <c r="N1306" s="18" t="s">
        <v>562</v>
      </c>
    </row>
    <row r="1307" ht="15" customHeight="1" spans="1:14" x14ac:dyDescent="0.25">
      <c r="A1307" s="13" t="s">
        <v>3172</v>
      </c>
      <c r="B1307" s="13">
        <v>11</v>
      </c>
      <c r="C1307" s="14" t="s">
        <v>84</v>
      </c>
      <c r="D1307" s="13" t="s">
        <v>499</v>
      </c>
      <c r="E1307" s="14" t="s">
        <v>500</v>
      </c>
      <c r="F1307" s="14" t="s">
        <v>3173</v>
      </c>
      <c r="G1307" s="13" t="s">
        <v>113</v>
      </c>
      <c r="H1307" s="18" t="str">
        <f>IFERROR(INDEX('المحافظات Governorates'!$E$2:$E$151,MATCH(D1307,'المحافظات Governorates'!$A$2:$A$151,0)),"")</f>
        <v>Badr Al-Janub</v>
      </c>
      <c r="I1307" s="18" t="str">
        <f>IFERROR(INDEX('المناطق Regions'!$C$2:$C$15,MATCH(B1307,'المناطق Regions'!$A$2:$A$15,0)),"")</f>
        <v>Najran</v>
      </c>
      <c r="J1307" s="18" t="str">
        <f>F1307&amp;", "&amp;E1307&amp;", Saudi Arabia"</f>
        <v>الرحاب, بدر الجنوب, Saudi Arabia</v>
      </c>
      <c r="K1307" s="18">
        <v>18.010905</v>
      </c>
      <c r="L1307" s="18">
        <v>43.896904</v>
      </c>
      <c r="M1307" s="18">
        <v>2000</v>
      </c>
      <c r="N1307" s="18" t="s">
        <v>562</v>
      </c>
    </row>
    <row r="1308" ht="15" customHeight="1" spans="1:14" x14ac:dyDescent="0.25">
      <c r="A1308" s="11" t="s">
        <v>3174</v>
      </c>
      <c r="B1308" s="11">
        <v>11</v>
      </c>
      <c r="C1308" s="12" t="s">
        <v>84</v>
      </c>
      <c r="D1308" s="11" t="s">
        <v>499</v>
      </c>
      <c r="E1308" s="12" t="s">
        <v>500</v>
      </c>
      <c r="F1308" s="12" t="s">
        <v>3175</v>
      </c>
      <c r="G1308" s="11" t="s">
        <v>149</v>
      </c>
      <c r="H1308" s="18" t="str">
        <f>IFERROR(INDEX('المحافظات Governorates'!$E$2:$E$151,MATCH(D1308,'المحافظات Governorates'!$A$2:$A$151,0)),"")</f>
        <v>Badr Al-Janub</v>
      </c>
      <c r="I1308" s="18" t="str">
        <f>IFERROR(INDEX('المناطق Regions'!$C$2:$C$15,MATCH(B1308,'المناطق Regions'!$A$2:$A$15,0)),"")</f>
        <v>Najran</v>
      </c>
      <c r="J1308" s="18" t="str">
        <f>F1308&amp;", "&amp;E1308&amp;", Saudi Arabia"</f>
        <v>لدمه, بدر الجنوب, Saudi Arabia</v>
      </c>
      <c r="K1308" s="18">
        <v>17.816288</v>
      </c>
      <c r="L1308" s="18">
        <v>43.752156</v>
      </c>
      <c r="M1308" s="18">
        <v>40708</v>
      </c>
      <c r="N1308" s="18" t="s">
        <v>3176</v>
      </c>
    </row>
    <row r="1309" ht="15" customHeight="1" spans="1:14" x14ac:dyDescent="0.25">
      <c r="A1309" s="13" t="s">
        <v>3177</v>
      </c>
      <c r="B1309" s="13">
        <v>11</v>
      </c>
      <c r="C1309" s="14" t="s">
        <v>84</v>
      </c>
      <c r="D1309" s="13" t="s">
        <v>499</v>
      </c>
      <c r="E1309" s="14" t="s">
        <v>500</v>
      </c>
      <c r="F1309" s="14" t="s">
        <v>3178</v>
      </c>
      <c r="G1309" s="13" t="s">
        <v>149</v>
      </c>
      <c r="H1309" s="18" t="str">
        <f>IFERROR(INDEX('المحافظات Governorates'!$E$2:$E$151,MATCH(D1309,'المحافظات Governorates'!$A$2:$A$151,0)),"")</f>
        <v>Badr Al-Janub</v>
      </c>
      <c r="I1309" s="18" t="str">
        <f>IFERROR(INDEX('المناطق Regions'!$C$2:$C$15,MATCH(B1309,'المناطق Regions'!$A$2:$A$15,0)),"")</f>
        <v>Najran</v>
      </c>
      <c r="J1309" s="18" t="str">
        <f>F1309&amp;", "&amp;E1309&amp;", Saudi Arabia"</f>
        <v>العرج, بدر الجنوب, Saudi Arabia</v>
      </c>
      <c r="K1309" s="18">
        <v>17.816288</v>
      </c>
      <c r="L1309" s="18">
        <v>43.752156</v>
      </c>
      <c r="M1309" s="18">
        <v>40708</v>
      </c>
      <c r="N1309" s="18" t="s">
        <v>3176</v>
      </c>
    </row>
    <row r="1310" ht="15" customHeight="1" spans="1:14" x14ac:dyDescent="0.25">
      <c r="A1310" s="11" t="s">
        <v>3179</v>
      </c>
      <c r="B1310" s="11">
        <v>11</v>
      </c>
      <c r="C1310" s="12" t="s">
        <v>84</v>
      </c>
      <c r="D1310" s="11" t="s">
        <v>502</v>
      </c>
      <c r="E1310" s="12" t="s">
        <v>503</v>
      </c>
      <c r="F1310" s="12" t="s">
        <v>3180</v>
      </c>
      <c r="G1310" s="11" t="s">
        <v>113</v>
      </c>
      <c r="H1310" s="18" t="str">
        <f>IFERROR(INDEX('المحافظات Governorates'!$E$2:$E$151,MATCH(D1310,'المحافظات Governorates'!$A$2:$A$151,0)),"")</f>
        <v>Yadamah</v>
      </c>
      <c r="I1310" s="18" t="str">
        <f>IFERROR(INDEX('المناطق Regions'!$C$2:$C$15,MATCH(B1310,'المناطق Regions'!$A$2:$A$15,0)),"")</f>
        <v>Najran</v>
      </c>
      <c r="J1310" s="18" t="str">
        <f>F1310&amp;", "&amp;E1310&amp;", Saudi Arabia"</f>
        <v>سلطانه, يدمه, Saudi Arabia</v>
      </c>
      <c r="K1310" s="18">
        <v>18.8623</v>
      </c>
      <c r="L1310" s="18">
        <v>45.1103</v>
      </c>
      <c r="M1310" s="18">
        <v>2000</v>
      </c>
      <c r="N1310" s="18" t="s">
        <v>562</v>
      </c>
    </row>
    <row r="1311" ht="15" customHeight="1" spans="1:14" x14ac:dyDescent="0.25">
      <c r="A1311" s="13" t="s">
        <v>3181</v>
      </c>
      <c r="B1311" s="13">
        <v>11</v>
      </c>
      <c r="C1311" s="14" t="s">
        <v>84</v>
      </c>
      <c r="D1311" s="13" t="s">
        <v>502</v>
      </c>
      <c r="E1311" s="14" t="s">
        <v>503</v>
      </c>
      <c r="F1311" s="14" t="s">
        <v>741</v>
      </c>
      <c r="G1311" s="13" t="s">
        <v>113</v>
      </c>
      <c r="H1311" s="18" t="str">
        <f>IFERROR(INDEX('المحافظات Governorates'!$E$2:$E$151,MATCH(D1311,'المحافظات Governorates'!$A$2:$A$151,0)),"")</f>
        <v>Yadamah</v>
      </c>
      <c r="I1311" s="18" t="str">
        <f>IFERROR(INDEX('المناطق Regions'!$C$2:$C$15,MATCH(B1311,'المناطق Regions'!$A$2:$A$15,0)),"")</f>
        <v>Najran</v>
      </c>
      <c r="J1311" s="18" t="str">
        <f>F1311&amp;", "&amp;E1311&amp;", Saudi Arabia"</f>
        <v>الخالديه, يدمه, Saudi Arabia</v>
      </c>
      <c r="K1311" s="18">
        <v>18.955068</v>
      </c>
      <c r="L1311" s="18">
        <v>45.102074</v>
      </c>
      <c r="M1311" s="18">
        <v>2000</v>
      </c>
      <c r="N1311" s="18" t="s">
        <v>562</v>
      </c>
    </row>
    <row r="1312" ht="15" customHeight="1" spans="1:14" x14ac:dyDescent="0.25">
      <c r="A1312" s="11" t="s">
        <v>3182</v>
      </c>
      <c r="B1312" s="11">
        <v>11</v>
      </c>
      <c r="C1312" s="12" t="s">
        <v>84</v>
      </c>
      <c r="D1312" s="11" t="s">
        <v>502</v>
      </c>
      <c r="E1312" s="12" t="s">
        <v>503</v>
      </c>
      <c r="F1312" s="12" t="s">
        <v>3183</v>
      </c>
      <c r="G1312" s="11" t="s">
        <v>113</v>
      </c>
      <c r="H1312" s="18" t="str">
        <f>IFERROR(INDEX('المحافظات Governorates'!$E$2:$E$151,MATCH(D1312,'المحافظات Governorates'!$A$2:$A$151,0)),"")</f>
        <v>Yadamah</v>
      </c>
      <c r="I1312" s="18" t="str">
        <f>IFERROR(INDEX('المناطق Regions'!$C$2:$C$15,MATCH(B1312,'المناطق Regions'!$A$2:$A$15,0)),"")</f>
        <v>Najran</v>
      </c>
      <c r="J1312" s="18" t="str">
        <f>F1312&amp;", "&amp;E1312&amp;", Saudi Arabia"</f>
        <v>السبيل, يدمه, Saudi Arabia</v>
      </c>
      <c r="K1312" s="18">
        <v>18.898854</v>
      </c>
      <c r="L1312" s="18">
        <v>45.152557</v>
      </c>
      <c r="M1312" s="18">
        <v>154882</v>
      </c>
      <c r="N1312" s="18" t="s">
        <v>3184</v>
      </c>
    </row>
    <row r="1313" ht="15" customHeight="1" spans="1:14" x14ac:dyDescent="0.25">
      <c r="A1313" s="13" t="s">
        <v>3185</v>
      </c>
      <c r="B1313" s="13">
        <v>11</v>
      </c>
      <c r="C1313" s="14" t="s">
        <v>84</v>
      </c>
      <c r="D1313" s="13" t="s">
        <v>502</v>
      </c>
      <c r="E1313" s="14" t="s">
        <v>503</v>
      </c>
      <c r="F1313" s="14" t="s">
        <v>3186</v>
      </c>
      <c r="G1313" s="13" t="s">
        <v>149</v>
      </c>
      <c r="H1313" s="18" t="str">
        <f>IFERROR(INDEX('المحافظات Governorates'!$E$2:$E$151,MATCH(D1313,'المحافظات Governorates'!$A$2:$A$151,0)),"")</f>
        <v>Yadamah</v>
      </c>
      <c r="I1313" s="18" t="str">
        <f>IFERROR(INDEX('المناطق Regions'!$C$2:$C$15,MATCH(B1313,'المناطق Regions'!$A$2:$A$15,0)),"")</f>
        <v>Najran</v>
      </c>
      <c r="J1313" s="18" t="str">
        <f>F1313&amp;", "&amp;E1313&amp;", Saudi Arabia"</f>
        <v>المندفن, يدمه, Saudi Arabia</v>
      </c>
      <c r="K1313" s="18">
        <v>18.544924</v>
      </c>
      <c r="L1313" s="18">
        <v>45.330908</v>
      </c>
      <c r="M1313" s="18">
        <v>2000</v>
      </c>
      <c r="N1313" s="18" t="s">
        <v>562</v>
      </c>
    </row>
    <row r="1314" ht="15" customHeight="1" spans="1:14" x14ac:dyDescent="0.25">
      <c r="A1314" s="11" t="s">
        <v>3187</v>
      </c>
      <c r="B1314" s="11">
        <v>11</v>
      </c>
      <c r="C1314" s="12" t="s">
        <v>84</v>
      </c>
      <c r="D1314" s="11" t="s">
        <v>502</v>
      </c>
      <c r="E1314" s="12" t="s">
        <v>503</v>
      </c>
      <c r="F1314" s="12" t="s">
        <v>3188</v>
      </c>
      <c r="G1314" s="11" t="s">
        <v>149</v>
      </c>
      <c r="H1314" s="18" t="str">
        <f>IFERROR(INDEX('المحافظات Governorates'!$E$2:$E$151,MATCH(D1314,'المحافظات Governorates'!$A$2:$A$151,0)),"")</f>
        <v>Yadamah</v>
      </c>
      <c r="I1314" s="18" t="str">
        <f>IFERROR(INDEX('المناطق Regions'!$C$2:$C$15,MATCH(B1314,'المناطق Regions'!$A$2:$A$15,0)),"")</f>
        <v>Najran</v>
      </c>
      <c r="J1314" s="18" t="str">
        <f>F1314&amp;", "&amp;E1314&amp;", Saudi Arabia"</f>
        <v>منادي, يدمه, Saudi Arabia</v>
      </c>
      <c r="K1314" s="18">
        <v>19.141329</v>
      </c>
      <c r="L1314" s="18">
        <v>46.276955</v>
      </c>
      <c r="M1314" s="18">
        <v>2000</v>
      </c>
      <c r="N1314" s="18" t="s">
        <v>562</v>
      </c>
    </row>
    <row r="1315" ht="15" customHeight="1" spans="1:14" x14ac:dyDescent="0.25">
      <c r="A1315" s="13" t="s">
        <v>3189</v>
      </c>
      <c r="B1315" s="13">
        <v>11</v>
      </c>
      <c r="C1315" s="14" t="s">
        <v>84</v>
      </c>
      <c r="D1315" s="13" t="s">
        <v>502</v>
      </c>
      <c r="E1315" s="14" t="s">
        <v>503</v>
      </c>
      <c r="F1315" s="14" t="s">
        <v>3190</v>
      </c>
      <c r="G1315" s="13" t="s">
        <v>149</v>
      </c>
      <c r="H1315" s="18" t="str">
        <f>IFERROR(INDEX('المحافظات Governorates'!$E$2:$E$151,MATCH(D1315,'المحافظات Governorates'!$A$2:$A$151,0)),"")</f>
        <v>Yadamah</v>
      </c>
      <c r="I1315" s="18" t="str">
        <f>IFERROR(INDEX('المناطق Regions'!$C$2:$C$15,MATCH(B1315,'المناطق Regions'!$A$2:$A$15,0)),"")</f>
        <v>Najran</v>
      </c>
      <c r="J1315" s="18" t="str">
        <f>F1315&amp;", "&amp;E1315&amp;", Saudi Arabia"</f>
        <v>نجد سهى, يدمه, Saudi Arabia</v>
      </c>
      <c r="K1315" s="18">
        <v>18.898854</v>
      </c>
      <c r="L1315" s="18">
        <v>45.152557</v>
      </c>
      <c r="M1315" s="18">
        <v>154882</v>
      </c>
      <c r="N1315" s="18" t="s">
        <v>3184</v>
      </c>
    </row>
    <row r="1316" ht="15" customHeight="1" spans="1:14" x14ac:dyDescent="0.25">
      <c r="A1316" s="11" t="s">
        <v>3191</v>
      </c>
      <c r="B1316" s="11">
        <v>11</v>
      </c>
      <c r="C1316" s="12" t="s">
        <v>84</v>
      </c>
      <c r="D1316" s="11" t="s">
        <v>502</v>
      </c>
      <c r="E1316" s="12" t="s">
        <v>503</v>
      </c>
      <c r="F1316" s="12" t="s">
        <v>2508</v>
      </c>
      <c r="G1316" s="11" t="s">
        <v>149</v>
      </c>
      <c r="H1316" s="18" t="str">
        <f>IFERROR(INDEX('المحافظات Governorates'!$E$2:$E$151,MATCH(D1316,'المحافظات Governorates'!$A$2:$A$151,0)),"")</f>
        <v>Yadamah</v>
      </c>
      <c r="I1316" s="18" t="str">
        <f>IFERROR(INDEX('المناطق Regions'!$C$2:$C$15,MATCH(B1316,'المناطق Regions'!$A$2:$A$15,0)),"")</f>
        <v>Najran</v>
      </c>
      <c r="J1316" s="18" t="str">
        <f>F1316&amp;", "&amp;E1316&amp;", Saudi Arabia"</f>
        <v>العزيزية, يدمه, Saudi Arabia</v>
      </c>
      <c r="K1316" s="18">
        <v>18.74275</v>
      </c>
      <c r="L1316" s="18">
        <v>44.158079</v>
      </c>
      <c r="M1316" s="18">
        <v>2000</v>
      </c>
      <c r="N1316" s="18" t="s">
        <v>562</v>
      </c>
    </row>
    <row r="1317" ht="15" customHeight="1" spans="1:14" x14ac:dyDescent="0.25">
      <c r="A1317" s="13" t="s">
        <v>3192</v>
      </c>
      <c r="B1317" s="13">
        <v>11</v>
      </c>
      <c r="C1317" s="14" t="s">
        <v>84</v>
      </c>
      <c r="D1317" s="13" t="s">
        <v>505</v>
      </c>
      <c r="E1317" s="14" t="s">
        <v>506</v>
      </c>
      <c r="F1317" s="14" t="s">
        <v>2095</v>
      </c>
      <c r="G1317" s="13" t="s">
        <v>113</v>
      </c>
      <c r="H1317" s="18" t="str">
        <f>IFERROR(INDEX('المحافظات Governorates'!$E$2:$E$151,MATCH(D1317,'المحافظات Governorates'!$A$2:$A$151,0)),"")</f>
        <v>Thar</v>
      </c>
      <c r="I1317" s="18" t="str">
        <f>IFERROR(INDEX('المناطق Regions'!$C$2:$C$15,MATCH(B1317,'المناطق Regions'!$A$2:$A$15,0)),"")</f>
        <v>Najran</v>
      </c>
      <c r="J1317" s="18" t="str">
        <f>F1317&amp;", "&amp;E1317&amp;", Saudi Arabia"</f>
        <v>قطن, ثار, Saudi Arabia</v>
      </c>
      <c r="K1317" s="18">
        <v>18.140616</v>
      </c>
      <c r="L1317" s="18">
        <v>44.122403</v>
      </c>
      <c r="M1317" s="18">
        <v>2000</v>
      </c>
      <c r="N1317" s="18" t="s">
        <v>562</v>
      </c>
    </row>
    <row r="1318" ht="15" customHeight="1" spans="1:14" x14ac:dyDescent="0.25">
      <c r="A1318" s="11" t="s">
        <v>3193</v>
      </c>
      <c r="B1318" s="11">
        <v>11</v>
      </c>
      <c r="C1318" s="12" t="s">
        <v>84</v>
      </c>
      <c r="D1318" s="11" t="s">
        <v>505</v>
      </c>
      <c r="E1318" s="12" t="s">
        <v>506</v>
      </c>
      <c r="F1318" s="12" t="s">
        <v>3194</v>
      </c>
      <c r="G1318" s="11" t="s">
        <v>113</v>
      </c>
      <c r="H1318" s="18" t="str">
        <f>IFERROR(INDEX('المحافظات Governorates'!$E$2:$E$151,MATCH(D1318,'المحافظات Governorates'!$A$2:$A$151,0)),"")</f>
        <v>Thar</v>
      </c>
      <c r="I1318" s="18" t="str">
        <f>IFERROR(INDEX('المناطق Regions'!$C$2:$C$15,MATCH(B1318,'المناطق Regions'!$A$2:$A$15,0)),"")</f>
        <v>Najran</v>
      </c>
      <c r="J1318" s="18" t="str">
        <f>F1318&amp;", "&amp;E1318&amp;", Saudi Arabia"</f>
        <v>حمى, ثار, Saudi Arabia</v>
      </c>
      <c r="K1318" s="18">
        <v>18.244972</v>
      </c>
      <c r="L1318" s="18">
        <v>44.455753</v>
      </c>
      <c r="M1318" s="18">
        <v>2000</v>
      </c>
      <c r="N1318" s="18" t="s">
        <v>562</v>
      </c>
    </row>
    <row r="1319" ht="15" customHeight="1" spans="1:14" x14ac:dyDescent="0.25">
      <c r="A1319" s="13" t="s">
        <v>3195</v>
      </c>
      <c r="B1319" s="13">
        <v>11</v>
      </c>
      <c r="C1319" s="14" t="s">
        <v>84</v>
      </c>
      <c r="D1319" s="13" t="s">
        <v>505</v>
      </c>
      <c r="E1319" s="14" t="s">
        <v>506</v>
      </c>
      <c r="F1319" s="14" t="s">
        <v>3196</v>
      </c>
      <c r="G1319" s="13" t="s">
        <v>113</v>
      </c>
      <c r="H1319" s="18" t="str">
        <f>IFERROR(INDEX('المحافظات Governorates'!$E$2:$E$151,MATCH(D1319,'المحافظات Governorates'!$A$2:$A$151,0)),"")</f>
        <v>Thar</v>
      </c>
      <c r="I1319" s="18" t="str">
        <f>IFERROR(INDEX('المناطق Regions'!$C$2:$C$15,MATCH(B1319,'المناطق Regions'!$A$2:$A$15,0)),"")</f>
        <v>Najran</v>
      </c>
      <c r="J1319" s="18" t="str">
        <f>F1319&amp;", "&amp;E1319&amp;", Saudi Arabia"</f>
        <v>الصفاح, ثار, Saudi Arabia</v>
      </c>
      <c r="K1319" s="18">
        <v>18.297386</v>
      </c>
      <c r="L1319" s="18">
        <v>43.870254</v>
      </c>
      <c r="M1319" s="18">
        <v>2000</v>
      </c>
      <c r="N1319" s="18" t="s">
        <v>562</v>
      </c>
    </row>
    <row r="1320" ht="15" customHeight="1" spans="1:14" x14ac:dyDescent="0.25">
      <c r="A1320" s="11" t="s">
        <v>3197</v>
      </c>
      <c r="B1320" s="11">
        <v>11</v>
      </c>
      <c r="C1320" s="12" t="s">
        <v>84</v>
      </c>
      <c r="D1320" s="11" t="s">
        <v>505</v>
      </c>
      <c r="E1320" s="12" t="s">
        <v>506</v>
      </c>
      <c r="F1320" s="12" t="s">
        <v>3198</v>
      </c>
      <c r="G1320" s="11" t="s">
        <v>149</v>
      </c>
      <c r="H1320" s="18" t="str">
        <f>IFERROR(INDEX('المحافظات Governorates'!$E$2:$E$151,MATCH(D1320,'المحافظات Governorates'!$A$2:$A$151,0)),"")</f>
        <v>Thar</v>
      </c>
      <c r="I1320" s="18" t="str">
        <f>IFERROR(INDEX('المناطق Regions'!$C$2:$C$15,MATCH(B1320,'المناطق Regions'!$A$2:$A$15,0)),"")</f>
        <v>Najran</v>
      </c>
      <c r="J1320" s="18" t="str">
        <f>F1320&amp;", "&amp;E1320&amp;", Saudi Arabia"</f>
        <v>ثجر, ثار, Saudi Arabia</v>
      </c>
      <c r="K1320" s="18">
        <v>18.369913</v>
      </c>
      <c r="L1320" s="18">
        <v>44.771283</v>
      </c>
      <c r="M1320" s="18">
        <v>2000</v>
      </c>
      <c r="N1320" s="18" t="s">
        <v>562</v>
      </c>
    </row>
    <row r="1321" ht="15" customHeight="1" spans="1:14" x14ac:dyDescent="0.25">
      <c r="A1321" s="13" t="s">
        <v>3199</v>
      </c>
      <c r="B1321" s="13">
        <v>11</v>
      </c>
      <c r="C1321" s="14" t="s">
        <v>84</v>
      </c>
      <c r="D1321" s="13" t="s">
        <v>505</v>
      </c>
      <c r="E1321" s="14" t="s">
        <v>506</v>
      </c>
      <c r="F1321" s="14" t="s">
        <v>3200</v>
      </c>
      <c r="G1321" s="13" t="s">
        <v>149</v>
      </c>
      <c r="H1321" s="18" t="str">
        <f>IFERROR(INDEX('المحافظات Governorates'!$E$2:$E$151,MATCH(D1321,'المحافظات Governorates'!$A$2:$A$151,0)),"")</f>
        <v>Thar</v>
      </c>
      <c r="I1321" s="18" t="str">
        <f>IFERROR(INDEX('المناطق Regions'!$C$2:$C$15,MATCH(B1321,'المناطق Regions'!$A$2:$A$15,0)),"")</f>
        <v>Najran</v>
      </c>
      <c r="J1321" s="18" t="str">
        <f>F1321&amp;", "&amp;E1321&amp;", Saudi Arabia"</f>
        <v>الجوشن, ثار, Saudi Arabia</v>
      </c>
      <c r="K1321" s="18">
        <v>18.137956</v>
      </c>
      <c r="L1321" s="18">
        <v>43.861649</v>
      </c>
      <c r="M1321" s="18">
        <v>2000</v>
      </c>
      <c r="N1321" s="18" t="s">
        <v>562</v>
      </c>
    </row>
    <row r="1322" ht="15" customHeight="1" spans="1:14" x14ac:dyDescent="0.25">
      <c r="A1322" s="11" t="s">
        <v>3201</v>
      </c>
      <c r="B1322" s="11">
        <v>11</v>
      </c>
      <c r="C1322" s="12" t="s">
        <v>84</v>
      </c>
      <c r="D1322" s="11" t="s">
        <v>505</v>
      </c>
      <c r="E1322" s="12" t="s">
        <v>506</v>
      </c>
      <c r="F1322" s="12" t="s">
        <v>3202</v>
      </c>
      <c r="G1322" s="11" t="s">
        <v>149</v>
      </c>
      <c r="H1322" s="18" t="str">
        <f>IFERROR(INDEX('المحافظات Governorates'!$E$2:$E$151,MATCH(D1322,'المحافظات Governorates'!$A$2:$A$151,0)),"")</f>
        <v>Thar</v>
      </c>
      <c r="I1322" s="18" t="str">
        <f>IFERROR(INDEX('المناطق Regions'!$C$2:$C$15,MATCH(B1322,'المناطق Regions'!$A$2:$A$15,0)),"")</f>
        <v>Najran</v>
      </c>
      <c r="J1322" s="18" t="str">
        <f>F1322&amp;", "&amp;E1322&amp;", Saudi Arabia"</f>
        <v>المحمدية, ثار, Saudi Arabia</v>
      </c>
      <c r="K1322" s="18">
        <v>18.447122</v>
      </c>
      <c r="L1322" s="18">
        <v>44.796316</v>
      </c>
      <c r="M1322" s="18">
        <v>2000</v>
      </c>
      <c r="N1322" s="18" t="s">
        <v>562</v>
      </c>
    </row>
    <row r="1323" ht="15" customHeight="1" spans="1:14" x14ac:dyDescent="0.25">
      <c r="A1323" s="13" t="s">
        <v>3203</v>
      </c>
      <c r="B1323" s="13">
        <v>11</v>
      </c>
      <c r="C1323" s="14" t="s">
        <v>84</v>
      </c>
      <c r="D1323" s="13" t="s">
        <v>508</v>
      </c>
      <c r="E1323" s="14" t="s">
        <v>509</v>
      </c>
      <c r="F1323" s="14" t="s">
        <v>3204</v>
      </c>
      <c r="G1323" s="13" t="s">
        <v>113</v>
      </c>
      <c r="H1323" s="18" t="str">
        <f>IFERROR(INDEX('المحافظات Governorates'!$E$2:$E$151,MATCH(D1323,'المحافظات Governorates'!$A$2:$A$151,0)),"")</f>
        <v>Khubash</v>
      </c>
      <c r="I1323" s="18" t="str">
        <f>IFERROR(INDEX('المناطق Regions'!$C$2:$C$15,MATCH(B1323,'المناطق Regions'!$A$2:$A$15,0)),"")</f>
        <v>Najran</v>
      </c>
      <c r="J1323" s="18" t="str">
        <f>F1323&amp;", "&amp;E1323&amp;", Saudi Arabia"</f>
        <v>هويمل, خباش, Saudi Arabia</v>
      </c>
      <c r="K1323" s="18">
        <v>17.573254</v>
      </c>
      <c r="L1323" s="18">
        <v>45.982531</v>
      </c>
      <c r="M1323" s="18">
        <v>2000</v>
      </c>
      <c r="N1323" s="18" t="s">
        <v>562</v>
      </c>
    </row>
    <row r="1324" ht="15" customHeight="1" spans="1:14" x14ac:dyDescent="0.25">
      <c r="A1324" s="11" t="s">
        <v>3205</v>
      </c>
      <c r="B1324" s="11">
        <v>11</v>
      </c>
      <c r="C1324" s="12" t="s">
        <v>84</v>
      </c>
      <c r="D1324" s="11" t="s">
        <v>508</v>
      </c>
      <c r="E1324" s="12" t="s">
        <v>509</v>
      </c>
      <c r="F1324" s="12" t="s">
        <v>3206</v>
      </c>
      <c r="G1324" s="11" t="s">
        <v>113</v>
      </c>
      <c r="H1324" s="18" t="str">
        <f>IFERROR(INDEX('المحافظات Governorates'!$E$2:$E$151,MATCH(D1324,'المحافظات Governorates'!$A$2:$A$151,0)),"")</f>
        <v>Khubash</v>
      </c>
      <c r="I1324" s="18" t="str">
        <f>IFERROR(INDEX('المناطق Regions'!$C$2:$C$15,MATCH(B1324,'المناطق Regions'!$A$2:$A$15,0)),"")</f>
        <v>Najran</v>
      </c>
      <c r="J1324" s="18" t="str">
        <f>F1324&amp;", "&amp;E1324&amp;", Saudi Arabia"</f>
        <v>النقيحاء, خباش, Saudi Arabia</v>
      </c>
      <c r="K1324" s="18">
        <v>17.562156</v>
      </c>
      <c r="L1324" s="18">
        <v>45.1928</v>
      </c>
      <c r="M1324" s="18">
        <v>2000</v>
      </c>
      <c r="N1324" s="18" t="s">
        <v>562</v>
      </c>
    </row>
    <row r="1325" ht="15" customHeight="1" spans="1:14" x14ac:dyDescent="0.25">
      <c r="A1325" s="13" t="s">
        <v>3207</v>
      </c>
      <c r="B1325" s="13">
        <v>11</v>
      </c>
      <c r="C1325" s="14" t="s">
        <v>84</v>
      </c>
      <c r="D1325" s="13" t="s">
        <v>508</v>
      </c>
      <c r="E1325" s="14" t="s">
        <v>509</v>
      </c>
      <c r="F1325" s="14" t="s">
        <v>3208</v>
      </c>
      <c r="G1325" s="13" t="s">
        <v>149</v>
      </c>
      <c r="H1325" s="18" t="str">
        <f>IFERROR(INDEX('المحافظات Governorates'!$E$2:$E$151,MATCH(D1325,'المحافظات Governorates'!$A$2:$A$151,0)),"")</f>
        <v>Khubash</v>
      </c>
      <c r="I1325" s="18" t="str">
        <f>IFERROR(INDEX('المناطق Regions'!$C$2:$C$15,MATCH(B1325,'المناطق Regions'!$A$2:$A$15,0)),"")</f>
        <v>Najran</v>
      </c>
      <c r="J1325" s="18" t="str">
        <f>F1325&amp;", "&amp;E1325&amp;", Saudi Arabia"</f>
        <v>ابو شداد, خباش, Saudi Arabia</v>
      </c>
      <c r="K1325" s="18">
        <v>18.016962</v>
      </c>
      <c r="L1325" s="18">
        <v>45.103289</v>
      </c>
      <c r="M1325" s="18">
        <v>2000</v>
      </c>
      <c r="N1325" s="18" t="s">
        <v>562</v>
      </c>
    </row>
    <row r="1326" ht="15" customHeight="1" spans="1:14" x14ac:dyDescent="0.25">
      <c r="A1326" s="11" t="s">
        <v>3209</v>
      </c>
      <c r="B1326" s="11">
        <v>11</v>
      </c>
      <c r="C1326" s="12" t="s">
        <v>84</v>
      </c>
      <c r="D1326" s="11" t="s">
        <v>508</v>
      </c>
      <c r="E1326" s="12" t="s">
        <v>509</v>
      </c>
      <c r="F1326" s="12" t="s">
        <v>3210</v>
      </c>
      <c r="G1326" s="11" t="s">
        <v>149</v>
      </c>
      <c r="H1326" s="18" t="str">
        <f>IFERROR(INDEX('المحافظات Governorates'!$E$2:$E$151,MATCH(D1326,'المحافظات Governorates'!$A$2:$A$151,0)),"")</f>
        <v>Khubash</v>
      </c>
      <c r="I1326" s="18" t="str">
        <f>IFERROR(INDEX('المناطق Regions'!$C$2:$C$15,MATCH(B1326,'المناطق Regions'!$A$2:$A$15,0)),"")</f>
        <v>Najran</v>
      </c>
      <c r="J1326" s="18" t="str">
        <f>F1326&amp;", "&amp;E1326&amp;", Saudi Arabia"</f>
        <v>المحياش, خباش, Saudi Arabia</v>
      </c>
      <c r="K1326" s="18">
        <v>18.126662</v>
      </c>
      <c r="L1326" s="18">
        <v>45.427331</v>
      </c>
      <c r="M1326" s="18">
        <v>2000</v>
      </c>
      <c r="N1326" s="18" t="s">
        <v>562</v>
      </c>
    </row>
    <row r="1327" ht="15" customHeight="1" spans="1:14" x14ac:dyDescent="0.25">
      <c r="A1327" s="13" t="s">
        <v>3211</v>
      </c>
      <c r="B1327" s="13">
        <v>11</v>
      </c>
      <c r="C1327" s="14" t="s">
        <v>84</v>
      </c>
      <c r="D1327" s="13" t="s">
        <v>508</v>
      </c>
      <c r="E1327" s="14" t="s">
        <v>509</v>
      </c>
      <c r="F1327" s="14" t="s">
        <v>3212</v>
      </c>
      <c r="G1327" s="13" t="s">
        <v>149</v>
      </c>
      <c r="H1327" s="18" t="str">
        <f>IFERROR(INDEX('المحافظات Governorates'!$E$2:$E$151,MATCH(D1327,'المحافظات Governorates'!$A$2:$A$151,0)),"")</f>
        <v>Khubash</v>
      </c>
      <c r="I1327" s="18" t="str">
        <f>IFERROR(INDEX('المناطق Regions'!$C$2:$C$15,MATCH(B1327,'المناطق Regions'!$A$2:$A$15,0)),"")</f>
        <v>Najran</v>
      </c>
      <c r="J1327" s="18" t="str">
        <f>F1327&amp;", "&amp;E1327&amp;", Saudi Arabia"</f>
        <v>ام الوهط, خباش, Saudi Arabia</v>
      </c>
      <c r="K1327" s="18">
        <v>18.2408</v>
      </c>
      <c r="L1327" s="18">
        <v>45.5361</v>
      </c>
      <c r="M1327" s="18">
        <v>2000</v>
      </c>
      <c r="N1327" s="18" t="s">
        <v>562</v>
      </c>
    </row>
    <row r="1328" ht="15" customHeight="1" spans="1:14" x14ac:dyDescent="0.25">
      <c r="A1328" s="11" t="s">
        <v>3213</v>
      </c>
      <c r="B1328" s="11">
        <v>11</v>
      </c>
      <c r="C1328" s="12" t="s">
        <v>84</v>
      </c>
      <c r="D1328" s="11" t="s">
        <v>508</v>
      </c>
      <c r="E1328" s="12" t="s">
        <v>509</v>
      </c>
      <c r="F1328" s="12" t="s">
        <v>3214</v>
      </c>
      <c r="G1328" s="11" t="s">
        <v>113</v>
      </c>
      <c r="H1328" s="18" t="str">
        <f>IFERROR(INDEX('المحافظات Governorates'!$E$2:$E$151,MATCH(D1328,'المحافظات Governorates'!$A$2:$A$151,0)),"")</f>
        <v>Khubash</v>
      </c>
      <c r="I1328" s="18" t="str">
        <f>IFERROR(INDEX('المناطق Regions'!$C$2:$C$15,MATCH(B1328,'المناطق Regions'!$A$2:$A$15,0)),"")</f>
        <v>Najran</v>
      </c>
      <c r="J1328" s="18" t="str">
        <f>F1328&amp;", "&amp;E1328&amp;", Saudi Arabia"</f>
        <v>شقة الكناور, خباش, Saudi Arabia</v>
      </c>
      <c r="K1328" s="18">
        <v>17.70994</v>
      </c>
      <c r="L1328" s="18">
        <v>45.442159</v>
      </c>
      <c r="M1328" s="18">
        <v>129393</v>
      </c>
      <c r="N1328" s="18" t="s">
        <v>2297</v>
      </c>
    </row>
    <row r="1329" ht="15" customHeight="1" spans="1:14" x14ac:dyDescent="0.25">
      <c r="A1329" s="13" t="s">
        <v>3215</v>
      </c>
      <c r="B1329" s="13">
        <v>11</v>
      </c>
      <c r="C1329" s="14" t="s">
        <v>84</v>
      </c>
      <c r="D1329" s="13" t="s">
        <v>508</v>
      </c>
      <c r="E1329" s="14" t="s">
        <v>509</v>
      </c>
      <c r="F1329" s="14" t="s">
        <v>3216</v>
      </c>
      <c r="G1329" s="13" t="s">
        <v>149</v>
      </c>
      <c r="H1329" s="18" t="str">
        <f>IFERROR(INDEX('المحافظات Governorates'!$E$2:$E$151,MATCH(D1329,'المحافظات Governorates'!$A$2:$A$151,0)),"")</f>
        <v>Khubash</v>
      </c>
      <c r="I1329" s="18" t="str">
        <f>IFERROR(INDEX('المناطق Regions'!$C$2:$C$15,MATCH(B1329,'المناطق Regions'!$A$2:$A$15,0)),"")</f>
        <v>Najran</v>
      </c>
      <c r="J1329" s="18" t="str">
        <f>F1329&amp;", "&amp;E1329&amp;", Saudi Arabia"</f>
        <v>المنخلي, خباش, Saudi Arabia</v>
      </c>
      <c r="K1329" s="18">
        <v>18.039518</v>
      </c>
      <c r="L1329" s="18">
        <v>45.767991</v>
      </c>
      <c r="M1329" s="18">
        <v>2000</v>
      </c>
      <c r="N1329" s="18" t="s">
        <v>562</v>
      </c>
    </row>
    <row r="1330" ht="15" customHeight="1" spans="1:14" x14ac:dyDescent="0.25">
      <c r="A1330" s="11" t="s">
        <v>3217</v>
      </c>
      <c r="B1330" s="11">
        <v>11</v>
      </c>
      <c r="C1330" s="12" t="s">
        <v>84</v>
      </c>
      <c r="D1330" s="11" t="s">
        <v>508</v>
      </c>
      <c r="E1330" s="12" t="s">
        <v>509</v>
      </c>
      <c r="F1330" s="12" t="s">
        <v>3218</v>
      </c>
      <c r="G1330" s="11" t="s">
        <v>113</v>
      </c>
      <c r="H1330" s="18" t="str">
        <f>IFERROR(INDEX('المحافظات Governorates'!$E$2:$E$151,MATCH(D1330,'المحافظات Governorates'!$A$2:$A$151,0)),"")</f>
        <v>Khubash</v>
      </c>
      <c r="I1330" s="18" t="str">
        <f>IFERROR(INDEX('المناطق Regions'!$C$2:$C$15,MATCH(B1330,'المناطق Regions'!$A$2:$A$15,0)),"")</f>
        <v>Najran</v>
      </c>
      <c r="J1330" s="18" t="str">
        <f>F1330&amp;", "&amp;E1330&amp;", Saudi Arabia"</f>
        <v>الخضراء, خباش, Saudi Arabia</v>
      </c>
      <c r="K1330" s="18">
        <v>17.535941</v>
      </c>
      <c r="L1330" s="18">
        <v>44.434032</v>
      </c>
      <c r="M1330" s="18">
        <v>2000</v>
      </c>
      <c r="N1330" s="18" t="s">
        <v>562</v>
      </c>
    </row>
    <row r="1331" ht="15" customHeight="1" spans="1:14" x14ac:dyDescent="0.25">
      <c r="A1331" s="13" t="s">
        <v>3219</v>
      </c>
      <c r="B1331" s="13">
        <v>12</v>
      </c>
      <c r="C1331" s="14" t="s">
        <v>87</v>
      </c>
      <c r="D1331" s="13" t="s">
        <v>511</v>
      </c>
      <c r="E1331" s="14" t="s">
        <v>87</v>
      </c>
      <c r="F1331" s="14" t="s">
        <v>1123</v>
      </c>
      <c r="G1331" s="13" t="s">
        <v>113</v>
      </c>
      <c r="H1331" s="18" t="str">
        <f>IFERROR(INDEX('المحافظات Governorates'!$E$2:$E$151,MATCH(D1331,'المحافظات Governorates'!$A$2:$A$151,0)),"")</f>
        <v>Al-Baha</v>
      </c>
      <c r="I1331" s="18" t="str">
        <f>IFERROR(INDEX('المناطق Regions'!$C$2:$C$15,MATCH(B1331,'المناطق Regions'!$A$2:$A$15,0)),"")</f>
        <v>Al-Baha</v>
      </c>
      <c r="J1331" s="18" t="str">
        <f>F1331&amp;", "&amp;E1331&amp;", Saudi Arabia"</f>
        <v>الفرعه, الباحة, Saudi Arabia</v>
      </c>
      <c r="K1331" s="18">
        <v>19.822534</v>
      </c>
      <c r="L1331" s="18">
        <v>41.715055</v>
      </c>
      <c r="M1331" s="18">
        <v>2000</v>
      </c>
      <c r="N1331" s="18" t="s">
        <v>642</v>
      </c>
    </row>
    <row r="1332" ht="15" customHeight="1" spans="1:14" x14ac:dyDescent="0.25">
      <c r="A1332" s="11" t="s">
        <v>3220</v>
      </c>
      <c r="B1332" s="11">
        <v>12</v>
      </c>
      <c r="C1332" s="12" t="s">
        <v>87</v>
      </c>
      <c r="D1332" s="11" t="s">
        <v>511</v>
      </c>
      <c r="E1332" s="12" t="s">
        <v>87</v>
      </c>
      <c r="F1332" s="12" t="s">
        <v>3221</v>
      </c>
      <c r="G1332" s="11" t="s">
        <v>113</v>
      </c>
      <c r="H1332" s="18" t="str">
        <f>IFERROR(INDEX('المحافظات Governorates'!$E$2:$E$151,MATCH(D1332,'المحافظات Governorates'!$A$2:$A$151,0)),"")</f>
        <v>Al-Baha</v>
      </c>
      <c r="I1332" s="18" t="str">
        <f>IFERROR(INDEX('المناطق Regions'!$C$2:$C$15,MATCH(B1332,'المناطق Regions'!$A$2:$A$15,0)),"")</f>
        <v>Al-Baha</v>
      </c>
      <c r="J1332" s="18" t="str">
        <f>F1332&amp;", "&amp;E1332&amp;", Saudi Arabia"</f>
        <v>بني ظبيان, الباحة, Saudi Arabia</v>
      </c>
      <c r="K1332" s="18">
        <v>20.024353</v>
      </c>
      <c r="L1332" s="18">
        <v>41.478752</v>
      </c>
      <c r="M1332" s="18">
        <v>18440</v>
      </c>
      <c r="N1332" s="18" t="s">
        <v>3222</v>
      </c>
    </row>
    <row r="1333" ht="15" customHeight="1" spans="1:14" x14ac:dyDescent="0.25">
      <c r="A1333" s="13" t="s">
        <v>3223</v>
      </c>
      <c r="B1333" s="13">
        <v>12</v>
      </c>
      <c r="C1333" s="14" t="s">
        <v>87</v>
      </c>
      <c r="D1333" s="13" t="s">
        <v>512</v>
      </c>
      <c r="E1333" s="14" t="s">
        <v>513</v>
      </c>
      <c r="F1333" s="14" t="s">
        <v>3224</v>
      </c>
      <c r="G1333" s="13" t="s">
        <v>113</v>
      </c>
      <c r="H1333" s="18" t="str">
        <f>IFERROR(INDEX('المحافظات Governorates'!$E$2:$E$151,MATCH(D1333,'المحافظات Governorates'!$A$2:$A$151,0)),"")</f>
        <v>Baljurashi</v>
      </c>
      <c r="I1333" s="18" t="str">
        <f>IFERROR(INDEX('المناطق Regions'!$C$2:$C$15,MATCH(B1333,'المناطق Regions'!$A$2:$A$15,0)),"")</f>
        <v>Al-Baha</v>
      </c>
      <c r="J1333" s="18" t="str">
        <f>F1333&amp;", "&amp;E1333&amp;", Saudi Arabia"</f>
        <v>بني كبير, بلجرشي, Saudi Arabia</v>
      </c>
      <c r="K1333" s="18">
        <v>19.868606</v>
      </c>
      <c r="L1333" s="18">
        <v>41.541701</v>
      </c>
      <c r="M1333" s="18">
        <v>2000</v>
      </c>
      <c r="N1333" s="18" t="s">
        <v>642</v>
      </c>
    </row>
    <row r="1334" ht="15" customHeight="1" spans="1:14" x14ac:dyDescent="0.25">
      <c r="A1334" s="11" t="s">
        <v>3225</v>
      </c>
      <c r="B1334" s="11">
        <v>12</v>
      </c>
      <c r="C1334" s="12" t="s">
        <v>87</v>
      </c>
      <c r="D1334" s="11" t="s">
        <v>512</v>
      </c>
      <c r="E1334" s="12" t="s">
        <v>513</v>
      </c>
      <c r="F1334" s="12" t="s">
        <v>3226</v>
      </c>
      <c r="G1334" s="11" t="s">
        <v>113</v>
      </c>
      <c r="H1334" s="18" t="str">
        <f>IFERROR(INDEX('المحافظات Governorates'!$E$2:$E$151,MATCH(D1334,'المحافظات Governorates'!$A$2:$A$151,0)),"")</f>
        <v>Baljurashi</v>
      </c>
      <c r="I1334" s="18" t="str">
        <f>IFERROR(INDEX('المناطق Regions'!$C$2:$C$15,MATCH(B1334,'المناطق Regions'!$A$2:$A$15,0)),"")</f>
        <v>Al-Baha</v>
      </c>
      <c r="J1334" s="18" t="str">
        <f>F1334&amp;", "&amp;E1334&amp;", Saudi Arabia"</f>
        <v>بالشهم, بلجرشي, Saudi Arabia</v>
      </c>
      <c r="K1334" s="18">
        <v>19.999876</v>
      </c>
      <c r="L1334" s="18">
        <v>41.733388</v>
      </c>
      <c r="M1334" s="18">
        <v>41587</v>
      </c>
      <c r="N1334" s="18" t="s">
        <v>1917</v>
      </c>
    </row>
    <row r="1335" ht="15" customHeight="1" spans="1:14" x14ac:dyDescent="0.25">
      <c r="A1335" s="13" t="s">
        <v>3227</v>
      </c>
      <c r="B1335" s="13">
        <v>12</v>
      </c>
      <c r="C1335" s="14" t="s">
        <v>87</v>
      </c>
      <c r="D1335" s="13" t="s">
        <v>512</v>
      </c>
      <c r="E1335" s="14" t="s">
        <v>513</v>
      </c>
      <c r="F1335" s="14" t="s">
        <v>3228</v>
      </c>
      <c r="G1335" s="13" t="s">
        <v>113</v>
      </c>
      <c r="H1335" s="18" t="str">
        <f>IFERROR(INDEX('المحافظات Governorates'!$E$2:$E$151,MATCH(D1335,'المحافظات Governorates'!$A$2:$A$151,0)),"")</f>
        <v>Baljurashi</v>
      </c>
      <c r="I1335" s="18" t="str">
        <f>IFERROR(INDEX('المناطق Regions'!$C$2:$C$15,MATCH(B1335,'المناطق Regions'!$A$2:$A$15,0)),"")</f>
        <v>Al-Baha</v>
      </c>
      <c r="J1335" s="18" t="str">
        <f>F1335&amp;", "&amp;E1335&amp;", Saudi Arabia"</f>
        <v>بادية بني كبير, بلجرشي, Saudi Arabia</v>
      </c>
      <c r="K1335" s="18">
        <v>19.999876</v>
      </c>
      <c r="L1335" s="18">
        <v>41.733388</v>
      </c>
      <c r="M1335" s="18">
        <v>41587</v>
      </c>
      <c r="N1335" s="18" t="s">
        <v>1917</v>
      </c>
    </row>
    <row r="1336" ht="15" customHeight="1" spans="1:14" x14ac:dyDescent="0.25">
      <c r="A1336" s="11" t="s">
        <v>3229</v>
      </c>
      <c r="B1336" s="11">
        <v>12</v>
      </c>
      <c r="C1336" s="12" t="s">
        <v>87</v>
      </c>
      <c r="D1336" s="11" t="s">
        <v>512</v>
      </c>
      <c r="E1336" s="12" t="s">
        <v>513</v>
      </c>
      <c r="F1336" s="12" t="s">
        <v>3230</v>
      </c>
      <c r="G1336" s="11" t="s">
        <v>113</v>
      </c>
      <c r="H1336" s="18" t="str">
        <f>IFERROR(INDEX('المحافظات Governorates'!$E$2:$E$151,MATCH(D1336,'المحافظات Governorates'!$A$2:$A$151,0)),"")</f>
        <v>Baljurashi</v>
      </c>
      <c r="I1336" s="18" t="str">
        <f>IFERROR(INDEX('المناطق Regions'!$C$2:$C$15,MATCH(B1336,'المناطق Regions'!$A$2:$A$15,0)),"")</f>
        <v>Al-Baha</v>
      </c>
      <c r="J1336" s="18" t="str">
        <f>F1336&amp;", "&amp;E1336&amp;", Saudi Arabia"</f>
        <v>وادي شرى, بلجرشي, Saudi Arabia</v>
      </c>
      <c r="K1336" s="18">
        <v>19.78937</v>
      </c>
      <c r="L1336" s="18">
        <v>41.768427</v>
      </c>
      <c r="M1336" s="18">
        <v>2000</v>
      </c>
      <c r="N1336" s="18" t="s">
        <v>642</v>
      </c>
    </row>
    <row r="1337" ht="15" customHeight="1" spans="1:14" x14ac:dyDescent="0.25">
      <c r="A1337" s="13" t="s">
        <v>3231</v>
      </c>
      <c r="B1337" s="13">
        <v>12</v>
      </c>
      <c r="C1337" s="14" t="s">
        <v>87</v>
      </c>
      <c r="D1337" s="13" t="s">
        <v>512</v>
      </c>
      <c r="E1337" s="14" t="s">
        <v>513</v>
      </c>
      <c r="F1337" s="14" t="s">
        <v>3232</v>
      </c>
      <c r="G1337" s="13" t="s">
        <v>149</v>
      </c>
      <c r="H1337" s="18" t="str">
        <f>IFERROR(INDEX('المحافظات Governorates'!$E$2:$E$151,MATCH(D1337,'المحافظات Governorates'!$A$2:$A$151,0)),"")</f>
        <v>Baljurashi</v>
      </c>
      <c r="I1337" s="18" t="str">
        <f>IFERROR(INDEX('المناطق Regions'!$C$2:$C$15,MATCH(B1337,'المناطق Regions'!$A$2:$A$15,0)),"")</f>
        <v>Al-Baha</v>
      </c>
      <c r="J1337" s="18" t="str">
        <f>F1337&amp;", "&amp;E1337&amp;", Saudi Arabia"</f>
        <v>الجنابين, بلجرشي, Saudi Arabia</v>
      </c>
      <c r="K1337" s="18">
        <v>19.932675</v>
      </c>
      <c r="L1337" s="18">
        <v>41.679597</v>
      </c>
      <c r="M1337" s="18">
        <v>2000</v>
      </c>
      <c r="N1337" s="18" t="s">
        <v>642</v>
      </c>
    </row>
    <row r="1338" ht="15" customHeight="1" spans="1:14" x14ac:dyDescent="0.25">
      <c r="A1338" s="11" t="s">
        <v>3233</v>
      </c>
      <c r="B1338" s="11">
        <v>12</v>
      </c>
      <c r="C1338" s="12" t="s">
        <v>87</v>
      </c>
      <c r="D1338" s="11" t="s">
        <v>515</v>
      </c>
      <c r="E1338" s="12" t="s">
        <v>516</v>
      </c>
      <c r="F1338" s="12" t="s">
        <v>3234</v>
      </c>
      <c r="G1338" s="11" t="s">
        <v>113</v>
      </c>
      <c r="H1338" s="18" t="str">
        <f>IFERROR(INDEX('المحافظات Governorates'!$E$2:$E$151,MATCH(D1338,'المحافظات Governorates'!$A$2:$A$151,0)),"")</f>
        <v>Al-Mandaq</v>
      </c>
      <c r="I1338" s="18" t="str">
        <f>IFERROR(INDEX('المناطق Regions'!$C$2:$C$15,MATCH(B1338,'المناطق Regions'!$A$2:$A$15,0)),"")</f>
        <v>Al-Baha</v>
      </c>
      <c r="J1338" s="18" t="str">
        <f>F1338&amp;", "&amp;E1338&amp;", Saudi Arabia"</f>
        <v>بالخزمر, المندق, Saudi Arabia</v>
      </c>
      <c r="K1338" s="18">
        <v>20.097952</v>
      </c>
      <c r="L1338" s="18">
        <v>41.305489</v>
      </c>
      <c r="M1338" s="18">
        <v>2000</v>
      </c>
      <c r="N1338" s="18" t="s">
        <v>562</v>
      </c>
    </row>
    <row r="1339" ht="15" customHeight="1" spans="1:14" x14ac:dyDescent="0.25">
      <c r="A1339" s="13" t="s">
        <v>3235</v>
      </c>
      <c r="B1339" s="13">
        <v>12</v>
      </c>
      <c r="C1339" s="14" t="s">
        <v>87</v>
      </c>
      <c r="D1339" s="13" t="s">
        <v>515</v>
      </c>
      <c r="E1339" s="14" t="s">
        <v>516</v>
      </c>
      <c r="F1339" s="14" t="s">
        <v>3236</v>
      </c>
      <c r="G1339" s="13" t="s">
        <v>113</v>
      </c>
      <c r="H1339" s="18" t="str">
        <f>IFERROR(INDEX('المحافظات Governorates'!$E$2:$E$151,MATCH(D1339,'المحافظات Governorates'!$A$2:$A$151,0)),"")</f>
        <v>Al-Mandaq</v>
      </c>
      <c r="I1339" s="18" t="str">
        <f>IFERROR(INDEX('المناطق Regions'!$C$2:$C$15,MATCH(B1339,'المناطق Regions'!$A$2:$A$15,0)),"")</f>
        <v>Al-Baha</v>
      </c>
      <c r="J1339" s="18" t="str">
        <f>F1339&amp;", "&amp;E1339&amp;", Saudi Arabia"</f>
        <v>دوس, المندق, Saudi Arabia</v>
      </c>
      <c r="K1339" s="18">
        <v>20.234689</v>
      </c>
      <c r="L1339" s="18">
        <v>41.245422</v>
      </c>
      <c r="M1339" s="18">
        <v>25158</v>
      </c>
      <c r="N1339" s="18" t="s">
        <v>2243</v>
      </c>
    </row>
    <row r="1340" ht="15" customHeight="1" spans="1:14" x14ac:dyDescent="0.25">
      <c r="A1340" s="11" t="s">
        <v>3237</v>
      </c>
      <c r="B1340" s="11">
        <v>12</v>
      </c>
      <c r="C1340" s="12" t="s">
        <v>87</v>
      </c>
      <c r="D1340" s="11" t="s">
        <v>515</v>
      </c>
      <c r="E1340" s="12" t="s">
        <v>516</v>
      </c>
      <c r="F1340" s="12" t="s">
        <v>3238</v>
      </c>
      <c r="G1340" s="11" t="s">
        <v>113</v>
      </c>
      <c r="H1340" s="18" t="str">
        <f>IFERROR(INDEX('المحافظات Governorates'!$E$2:$E$151,MATCH(D1340,'المحافظات Governorates'!$A$2:$A$151,0)),"")</f>
        <v>Al-Mandaq</v>
      </c>
      <c r="I1340" s="18" t="str">
        <f>IFERROR(INDEX('المناطق Regions'!$C$2:$C$15,MATCH(B1340,'المناطق Regions'!$A$2:$A$15,0)),"")</f>
        <v>Al-Baha</v>
      </c>
      <c r="J1340" s="18" t="str">
        <f>F1340&amp;", "&amp;E1340&amp;", Saudi Arabia"</f>
        <v>برحرح, المندق, Saudi Arabia</v>
      </c>
      <c r="K1340" s="18">
        <v>20.337139</v>
      </c>
      <c r="L1340" s="18">
        <v>41.198027</v>
      </c>
      <c r="M1340" s="18">
        <v>2000</v>
      </c>
      <c r="N1340" s="18" t="s">
        <v>562</v>
      </c>
    </row>
    <row r="1341" ht="15" customHeight="1" spans="1:14" x14ac:dyDescent="0.25">
      <c r="A1341" s="13" t="s">
        <v>3239</v>
      </c>
      <c r="B1341" s="13">
        <v>12</v>
      </c>
      <c r="C1341" s="14" t="s">
        <v>87</v>
      </c>
      <c r="D1341" s="13" t="s">
        <v>515</v>
      </c>
      <c r="E1341" s="14" t="s">
        <v>516</v>
      </c>
      <c r="F1341" s="14" t="s">
        <v>3240</v>
      </c>
      <c r="G1341" s="13" t="s">
        <v>149</v>
      </c>
      <c r="H1341" s="18" t="str">
        <f>IFERROR(INDEX('المحافظات Governorates'!$E$2:$E$151,MATCH(D1341,'المحافظات Governorates'!$A$2:$A$151,0)),"")</f>
        <v>Al-Mandaq</v>
      </c>
      <c r="I1341" s="18" t="str">
        <f>IFERROR(INDEX('المناطق Regions'!$C$2:$C$15,MATCH(B1341,'المناطق Regions'!$A$2:$A$15,0)),"")</f>
        <v>Al-Baha</v>
      </c>
      <c r="J1341" s="18" t="str">
        <f>F1341&amp;", "&amp;E1341&amp;", Saudi Arabia"</f>
        <v>دوس بني فهم, المندق, Saudi Arabia</v>
      </c>
      <c r="K1341" s="18">
        <v>20.234689</v>
      </c>
      <c r="L1341" s="18">
        <v>41.245422</v>
      </c>
      <c r="M1341" s="18">
        <v>25158</v>
      </c>
      <c r="N1341" s="18" t="s">
        <v>2243</v>
      </c>
    </row>
    <row r="1342" ht="15" customHeight="1" spans="1:14" x14ac:dyDescent="0.25">
      <c r="A1342" s="11" t="s">
        <v>3241</v>
      </c>
      <c r="B1342" s="11">
        <v>12</v>
      </c>
      <c r="C1342" s="12" t="s">
        <v>87</v>
      </c>
      <c r="D1342" s="11" t="s">
        <v>518</v>
      </c>
      <c r="E1342" s="12" t="s">
        <v>519</v>
      </c>
      <c r="F1342" s="12" t="s">
        <v>3242</v>
      </c>
      <c r="G1342" s="11" t="s">
        <v>113</v>
      </c>
      <c r="H1342" s="18" t="str">
        <f>IFERROR(INDEX('المحافظات Governorates'!$E$2:$E$151,MATCH(D1342,'المحافظات Governorates'!$A$2:$A$151,0)),"")</f>
        <v>Al-Makhwah</v>
      </c>
      <c r="I1342" s="18" t="str">
        <f>IFERROR(INDEX('المناطق Regions'!$C$2:$C$15,MATCH(B1342,'المناطق Regions'!$A$2:$A$15,0)),"")</f>
        <v>Al-Baha</v>
      </c>
      <c r="J1342" s="18" t="str">
        <f>F1342&amp;", "&amp;E1342&amp;", Saudi Arabia"</f>
        <v>ناوان, المخواه, Saudi Arabia</v>
      </c>
      <c r="K1342" s="18">
        <v>19.544812</v>
      </c>
      <c r="L1342" s="18">
        <v>41.15504</v>
      </c>
      <c r="M1342" s="18">
        <v>2000</v>
      </c>
      <c r="N1342" s="18" t="s">
        <v>562</v>
      </c>
    </row>
    <row r="1343" ht="15" customHeight="1" spans="1:14" x14ac:dyDescent="0.25">
      <c r="A1343" s="13" t="s">
        <v>3243</v>
      </c>
      <c r="B1343" s="13">
        <v>12</v>
      </c>
      <c r="C1343" s="14" t="s">
        <v>87</v>
      </c>
      <c r="D1343" s="13" t="s">
        <v>518</v>
      </c>
      <c r="E1343" s="14" t="s">
        <v>519</v>
      </c>
      <c r="F1343" s="14" t="s">
        <v>3244</v>
      </c>
      <c r="G1343" s="13" t="s">
        <v>149</v>
      </c>
      <c r="H1343" s="18" t="str">
        <f>IFERROR(INDEX('المحافظات Governorates'!$E$2:$E$151,MATCH(D1343,'المحافظات Governorates'!$A$2:$A$151,0)),"")</f>
        <v>Al-Makhwah</v>
      </c>
      <c r="I1343" s="18" t="str">
        <f>IFERROR(INDEX('المناطق Regions'!$C$2:$C$15,MATCH(B1343,'المناطق Regions'!$A$2:$A$15,0)),"")</f>
        <v>Al-Baha</v>
      </c>
      <c r="J1343" s="18" t="str">
        <f>F1343&amp;", "&amp;E1343&amp;", Saudi Arabia"</f>
        <v>شدا الاعلى, المخواه, Saudi Arabia</v>
      </c>
      <c r="K1343" s="18">
        <v>19.746413</v>
      </c>
      <c r="L1343" s="18">
        <v>41.322238</v>
      </c>
      <c r="M1343" s="18">
        <v>42014</v>
      </c>
      <c r="N1343" s="18" t="s">
        <v>1917</v>
      </c>
    </row>
    <row r="1344" ht="15" customHeight="1" spans="1:14" x14ac:dyDescent="0.25">
      <c r="A1344" s="11" t="s">
        <v>3245</v>
      </c>
      <c r="B1344" s="11">
        <v>12</v>
      </c>
      <c r="C1344" s="12" t="s">
        <v>87</v>
      </c>
      <c r="D1344" s="11" t="s">
        <v>518</v>
      </c>
      <c r="E1344" s="12" t="s">
        <v>519</v>
      </c>
      <c r="F1344" s="12" t="s">
        <v>2466</v>
      </c>
      <c r="G1344" s="11" t="s">
        <v>149</v>
      </c>
      <c r="H1344" s="18" t="str">
        <f>IFERROR(INDEX('المحافظات Governorates'!$E$2:$E$151,MATCH(D1344,'المحافظات Governorates'!$A$2:$A$151,0)),"")</f>
        <v>Al-Makhwah</v>
      </c>
      <c r="I1344" s="18" t="str">
        <f>IFERROR(INDEX('المناطق Regions'!$C$2:$C$15,MATCH(B1344,'المناطق Regions'!$A$2:$A$15,0)),"")</f>
        <v>Al-Baha</v>
      </c>
      <c r="J1344" s="18" t="str">
        <f>F1344&amp;", "&amp;E1344&amp;", Saudi Arabia"</f>
        <v>الجوه, المخواه, Saudi Arabia</v>
      </c>
      <c r="K1344" s="18">
        <v>19.746413</v>
      </c>
      <c r="L1344" s="18">
        <v>41.322238</v>
      </c>
      <c r="M1344" s="18">
        <v>42014</v>
      </c>
      <c r="N1344" s="18" t="s">
        <v>1917</v>
      </c>
    </row>
    <row r="1345" ht="15" customHeight="1" spans="1:14" x14ac:dyDescent="0.25">
      <c r="A1345" s="13" t="s">
        <v>3246</v>
      </c>
      <c r="B1345" s="13">
        <v>12</v>
      </c>
      <c r="C1345" s="14" t="s">
        <v>87</v>
      </c>
      <c r="D1345" s="13" t="s">
        <v>518</v>
      </c>
      <c r="E1345" s="14" t="s">
        <v>519</v>
      </c>
      <c r="F1345" s="14" t="s">
        <v>3247</v>
      </c>
      <c r="G1345" s="13" t="s">
        <v>113</v>
      </c>
      <c r="H1345" s="18" t="str">
        <f>IFERROR(INDEX('المحافظات Governorates'!$E$2:$E$151,MATCH(D1345,'المحافظات Governorates'!$A$2:$A$151,0)),"")</f>
        <v>Al-Makhwah</v>
      </c>
      <c r="I1345" s="18" t="str">
        <f>IFERROR(INDEX('المناطق Regions'!$C$2:$C$15,MATCH(B1345,'المناطق Regions'!$A$2:$A$15,0)),"")</f>
        <v>Al-Baha</v>
      </c>
      <c r="J1345" s="18" t="str">
        <f>F1345&amp;", "&amp;E1345&amp;", Saudi Arabia"</f>
        <v>نيرا, المخواه, Saudi Arabia</v>
      </c>
      <c r="K1345" s="18">
        <v>19.746413</v>
      </c>
      <c r="L1345" s="18">
        <v>41.322238</v>
      </c>
      <c r="M1345" s="18">
        <v>42014</v>
      </c>
      <c r="N1345" s="18" t="s">
        <v>1917</v>
      </c>
    </row>
    <row r="1346" ht="15" customHeight="1" spans="1:14" x14ac:dyDescent="0.25">
      <c r="A1346" s="11" t="s">
        <v>3248</v>
      </c>
      <c r="B1346" s="11">
        <v>12</v>
      </c>
      <c r="C1346" s="12" t="s">
        <v>87</v>
      </c>
      <c r="D1346" s="11" t="s">
        <v>518</v>
      </c>
      <c r="E1346" s="12" t="s">
        <v>519</v>
      </c>
      <c r="F1346" s="12" t="s">
        <v>3249</v>
      </c>
      <c r="G1346" s="11" t="s">
        <v>149</v>
      </c>
      <c r="H1346" s="18" t="str">
        <f>IFERROR(INDEX('المحافظات Governorates'!$E$2:$E$151,MATCH(D1346,'المحافظات Governorates'!$A$2:$A$151,0)),"")</f>
        <v>Al-Makhwah</v>
      </c>
      <c r="I1346" s="18" t="str">
        <f>IFERROR(INDEX('المناطق Regions'!$C$2:$C$15,MATCH(B1346,'المناطق Regions'!$A$2:$A$15,0)),"")</f>
        <v>Al-Baha</v>
      </c>
      <c r="J1346" s="18" t="str">
        <f>F1346&amp;", "&amp;E1346&amp;", Saudi Arabia"</f>
        <v>وادي ممنا, المخواه, Saudi Arabia</v>
      </c>
      <c r="K1346" s="18">
        <v>19.746413</v>
      </c>
      <c r="L1346" s="18">
        <v>41.322238</v>
      </c>
      <c r="M1346" s="18">
        <v>42014</v>
      </c>
      <c r="N1346" s="18" t="s">
        <v>1917</v>
      </c>
    </row>
    <row r="1347" ht="15" customHeight="1" spans="1:14" x14ac:dyDescent="0.25">
      <c r="A1347" s="13" t="s">
        <v>3250</v>
      </c>
      <c r="B1347" s="13">
        <v>12</v>
      </c>
      <c r="C1347" s="14" t="s">
        <v>87</v>
      </c>
      <c r="D1347" s="13" t="s">
        <v>518</v>
      </c>
      <c r="E1347" s="14" t="s">
        <v>519</v>
      </c>
      <c r="F1347" s="14" t="s">
        <v>3251</v>
      </c>
      <c r="G1347" s="13" t="s">
        <v>149</v>
      </c>
      <c r="H1347" s="18" t="str">
        <f>IFERROR(INDEX('المحافظات Governorates'!$E$2:$E$151,MATCH(D1347,'المحافظات Governorates'!$A$2:$A$151,0)),"")</f>
        <v>Al-Makhwah</v>
      </c>
      <c r="I1347" s="18" t="str">
        <f>IFERROR(INDEX('المناطق Regions'!$C$2:$C$15,MATCH(B1347,'المناطق Regions'!$A$2:$A$15,0)),"")</f>
        <v>Al-Baha</v>
      </c>
      <c r="J1347" s="18" t="str">
        <f>F1347&amp;", "&amp;E1347&amp;", Saudi Arabia"</f>
        <v>وادي الأحسبة, المخواه, Saudi Arabia</v>
      </c>
      <c r="K1347" s="18">
        <v>19.746413</v>
      </c>
      <c r="L1347" s="18">
        <v>41.322238</v>
      </c>
      <c r="M1347" s="18">
        <v>42014</v>
      </c>
      <c r="N1347" s="18" t="s">
        <v>1917</v>
      </c>
    </row>
    <row r="1348" ht="15" customHeight="1" spans="1:14" x14ac:dyDescent="0.25">
      <c r="A1348" s="11" t="s">
        <v>3252</v>
      </c>
      <c r="B1348" s="11">
        <v>12</v>
      </c>
      <c r="C1348" s="12" t="s">
        <v>87</v>
      </c>
      <c r="D1348" s="11" t="s">
        <v>521</v>
      </c>
      <c r="E1348" s="12" t="s">
        <v>522</v>
      </c>
      <c r="F1348" s="12" t="s">
        <v>3253</v>
      </c>
      <c r="G1348" s="11" t="s">
        <v>113</v>
      </c>
      <c r="H1348" s="18" t="str">
        <f>IFERROR(INDEX('المحافظات Governorates'!$E$2:$E$151,MATCH(D1348,'المحافظات Governorates'!$A$2:$A$151,0)),"")</f>
        <v>Al-Aqiq</v>
      </c>
      <c r="I1348" s="18" t="str">
        <f>IFERROR(INDEX('المناطق Regions'!$C$2:$C$15,MATCH(B1348,'المناطق Regions'!$A$2:$A$15,0)),"")</f>
        <v>Al-Baha</v>
      </c>
      <c r="J1348" s="18" t="str">
        <f>F1348&amp;", "&amp;E1348&amp;", Saudi Arabia"</f>
        <v>جرب, العقيق, Saudi Arabia</v>
      </c>
      <c r="K1348" s="18">
        <v>20.444</v>
      </c>
      <c r="L1348" s="18">
        <v>41.933721</v>
      </c>
      <c r="M1348" s="18">
        <v>2000</v>
      </c>
      <c r="N1348" s="18" t="s">
        <v>562</v>
      </c>
    </row>
    <row r="1349" ht="15" customHeight="1" spans="1:14" x14ac:dyDescent="0.25">
      <c r="A1349" s="13" t="s">
        <v>3254</v>
      </c>
      <c r="B1349" s="13">
        <v>12</v>
      </c>
      <c r="C1349" s="14" t="s">
        <v>87</v>
      </c>
      <c r="D1349" s="13" t="s">
        <v>521</v>
      </c>
      <c r="E1349" s="14" t="s">
        <v>522</v>
      </c>
      <c r="F1349" s="14" t="s">
        <v>3255</v>
      </c>
      <c r="G1349" s="13" t="s">
        <v>113</v>
      </c>
      <c r="H1349" s="18" t="str">
        <f>IFERROR(INDEX('المحافظات Governorates'!$E$2:$E$151,MATCH(D1349,'المحافظات Governorates'!$A$2:$A$151,0)),"")</f>
        <v>Al-Aqiq</v>
      </c>
      <c r="I1349" s="18" t="str">
        <f>IFERROR(INDEX('المناطق Regions'!$C$2:$C$15,MATCH(B1349,'المناطق Regions'!$A$2:$A$15,0)),"")</f>
        <v>Al-Baha</v>
      </c>
      <c r="J1349" s="18" t="str">
        <f>F1349&amp;", "&amp;E1349&amp;", Saudi Arabia"</f>
        <v>كرا الحائط, العقيق, Saudi Arabia</v>
      </c>
      <c r="K1349" s="18">
        <v>20.654359</v>
      </c>
      <c r="L1349" s="18">
        <v>41.689703</v>
      </c>
      <c r="M1349" s="18">
        <v>2000</v>
      </c>
      <c r="N1349" s="18" t="s">
        <v>562</v>
      </c>
    </row>
    <row r="1350" ht="15" customHeight="1" spans="1:14" x14ac:dyDescent="0.25">
      <c r="A1350" s="11" t="s">
        <v>3256</v>
      </c>
      <c r="B1350" s="11">
        <v>12</v>
      </c>
      <c r="C1350" s="12" t="s">
        <v>87</v>
      </c>
      <c r="D1350" s="11" t="s">
        <v>521</v>
      </c>
      <c r="E1350" s="12" t="s">
        <v>522</v>
      </c>
      <c r="F1350" s="12" t="s">
        <v>3257</v>
      </c>
      <c r="G1350" s="11" t="s">
        <v>113</v>
      </c>
      <c r="H1350" s="18" t="str">
        <f>IFERROR(INDEX('المحافظات Governorates'!$E$2:$E$151,MATCH(D1350,'المحافظات Governorates'!$A$2:$A$151,0)),"")</f>
        <v>Al-Aqiq</v>
      </c>
      <c r="I1350" s="18" t="str">
        <f>IFERROR(INDEX('المناطق Regions'!$C$2:$C$15,MATCH(B1350,'المناطق Regions'!$A$2:$A$15,0)),"")</f>
        <v>Al-Baha</v>
      </c>
      <c r="J1350" s="18" t="str">
        <f>F1350&amp;", "&amp;E1350&amp;", Saudi Arabia"</f>
        <v>وراخ, العقيق, Saudi Arabia</v>
      </c>
      <c r="K1350" s="18">
        <v>20.728508</v>
      </c>
      <c r="L1350" s="18">
        <v>41.539196</v>
      </c>
      <c r="M1350" s="18">
        <v>2000</v>
      </c>
      <c r="N1350" s="18" t="s">
        <v>562</v>
      </c>
    </row>
    <row r="1351" ht="15" customHeight="1" spans="1:14" x14ac:dyDescent="0.25">
      <c r="A1351" s="13" t="s">
        <v>3258</v>
      </c>
      <c r="B1351" s="13">
        <v>12</v>
      </c>
      <c r="C1351" s="14" t="s">
        <v>87</v>
      </c>
      <c r="D1351" s="13" t="s">
        <v>521</v>
      </c>
      <c r="E1351" s="14" t="s">
        <v>522</v>
      </c>
      <c r="F1351" s="14" t="s">
        <v>1104</v>
      </c>
      <c r="G1351" s="13" t="s">
        <v>149</v>
      </c>
      <c r="H1351" s="18" t="str">
        <f>IFERROR(INDEX('المحافظات Governorates'!$E$2:$E$151,MATCH(D1351,'المحافظات Governorates'!$A$2:$A$151,0)),"")</f>
        <v>Al-Aqiq</v>
      </c>
      <c r="I1351" s="18" t="str">
        <f>IFERROR(INDEX('المناطق Regions'!$C$2:$C$15,MATCH(B1351,'المناطق Regions'!$A$2:$A$15,0)),"")</f>
        <v>Al-Baha</v>
      </c>
      <c r="J1351" s="18" t="str">
        <f>F1351&amp;", "&amp;E1351&amp;", Saudi Arabia"</f>
        <v>البعيثه, العقيق, Saudi Arabia</v>
      </c>
      <c r="K1351" s="18">
        <v>20.751748</v>
      </c>
      <c r="L1351" s="18">
        <v>41.547724</v>
      </c>
      <c r="M1351" s="18">
        <v>2000</v>
      </c>
      <c r="N1351" s="18" t="s">
        <v>562</v>
      </c>
    </row>
    <row r="1352" ht="15" customHeight="1" spans="1:14" x14ac:dyDescent="0.25">
      <c r="A1352" s="11" t="s">
        <v>3259</v>
      </c>
      <c r="B1352" s="11">
        <v>12</v>
      </c>
      <c r="C1352" s="12" t="s">
        <v>87</v>
      </c>
      <c r="D1352" s="11" t="s">
        <v>521</v>
      </c>
      <c r="E1352" s="12" t="s">
        <v>522</v>
      </c>
      <c r="F1352" s="12" t="s">
        <v>3260</v>
      </c>
      <c r="G1352" s="11" t="s">
        <v>113</v>
      </c>
      <c r="H1352" s="18" t="str">
        <f>IFERROR(INDEX('المحافظات Governorates'!$E$2:$E$151,MATCH(D1352,'المحافظات Governorates'!$A$2:$A$151,0)),"")</f>
        <v>Al-Aqiq</v>
      </c>
      <c r="I1352" s="18" t="str">
        <f>IFERROR(INDEX('المناطق Regions'!$C$2:$C$15,MATCH(B1352,'المناطق Regions'!$A$2:$A$15,0)),"")</f>
        <v>Al-Baha</v>
      </c>
      <c r="J1352" s="18" t="str">
        <f>F1352&amp;", "&amp;E1352&amp;", Saudi Arabia"</f>
        <v>الجاوه, العقيق, Saudi Arabia</v>
      </c>
      <c r="K1352" s="18">
        <v>20.420884</v>
      </c>
      <c r="L1352" s="18">
        <v>41.691793</v>
      </c>
      <c r="M1352" s="18">
        <v>58409</v>
      </c>
      <c r="N1352" s="18" t="s">
        <v>3261</v>
      </c>
    </row>
    <row r="1353" ht="15" customHeight="1" spans="1:14" x14ac:dyDescent="0.25">
      <c r="A1353" s="13" t="s">
        <v>3262</v>
      </c>
      <c r="B1353" s="13">
        <v>12</v>
      </c>
      <c r="C1353" s="14" t="s">
        <v>87</v>
      </c>
      <c r="D1353" s="13" t="s">
        <v>521</v>
      </c>
      <c r="E1353" s="14" t="s">
        <v>522</v>
      </c>
      <c r="F1353" s="14" t="s">
        <v>3263</v>
      </c>
      <c r="G1353" s="13" t="s">
        <v>149</v>
      </c>
      <c r="H1353" s="18" t="str">
        <f>IFERROR(INDEX('المحافظات Governorates'!$E$2:$E$151,MATCH(D1353,'المحافظات Governorates'!$A$2:$A$151,0)),"")</f>
        <v>Al-Aqiq</v>
      </c>
      <c r="I1353" s="18" t="str">
        <f>IFERROR(INDEX('المناطق Regions'!$C$2:$C$15,MATCH(B1353,'المناطق Regions'!$A$2:$A$15,0)),"")</f>
        <v>Al-Baha</v>
      </c>
      <c r="J1353" s="18" t="str">
        <f>F1353&amp;", "&amp;E1353&amp;", Saudi Arabia"</f>
        <v>بهر, العقيق, Saudi Arabia</v>
      </c>
      <c r="K1353" s="18">
        <v>20.420884</v>
      </c>
      <c r="L1353" s="18">
        <v>41.691793</v>
      </c>
      <c r="M1353" s="18">
        <v>58409</v>
      </c>
      <c r="N1353" s="18" t="s">
        <v>3261</v>
      </c>
    </row>
    <row r="1354" ht="15" customHeight="1" spans="1:14" x14ac:dyDescent="0.25">
      <c r="A1354" s="11" t="s">
        <v>3264</v>
      </c>
      <c r="B1354" s="11">
        <v>12</v>
      </c>
      <c r="C1354" s="12" t="s">
        <v>87</v>
      </c>
      <c r="D1354" s="11" t="s">
        <v>524</v>
      </c>
      <c r="E1354" s="12" t="s">
        <v>525</v>
      </c>
      <c r="F1354" s="12" t="s">
        <v>691</v>
      </c>
      <c r="G1354" s="11" t="s">
        <v>113</v>
      </c>
      <c r="H1354" s="18" t="str">
        <f>IFERROR(INDEX('المحافظات Governorates'!$E$2:$E$151,MATCH(D1354,'المحافظات Governorates'!$A$2:$A$151,0)),"")</f>
        <v>Qilwah</v>
      </c>
      <c r="I1354" s="18" t="str">
        <f>IFERROR(INDEX('المناطق Regions'!$C$2:$C$15,MATCH(B1354,'المناطق Regions'!$A$2:$A$15,0)),"")</f>
        <v>Al-Baha</v>
      </c>
      <c r="J1354" s="18" t="str">
        <f>F1354&amp;", "&amp;E1354&amp;", Saudi Arabia"</f>
        <v>الشعراء, قلوه, Saudi Arabia</v>
      </c>
      <c r="K1354" s="18">
        <v>20.067159</v>
      </c>
      <c r="L1354" s="18">
        <v>41.188617</v>
      </c>
      <c r="M1354" s="18">
        <v>2000</v>
      </c>
      <c r="N1354" s="18" t="s">
        <v>562</v>
      </c>
    </row>
    <row r="1355" ht="15" customHeight="1" spans="1:14" x14ac:dyDescent="0.25">
      <c r="A1355" s="13" t="s">
        <v>3265</v>
      </c>
      <c r="B1355" s="13">
        <v>12</v>
      </c>
      <c r="C1355" s="14" t="s">
        <v>87</v>
      </c>
      <c r="D1355" s="13" t="s">
        <v>524</v>
      </c>
      <c r="E1355" s="14" t="s">
        <v>525</v>
      </c>
      <c r="F1355" s="14" t="s">
        <v>3266</v>
      </c>
      <c r="G1355" s="13" t="s">
        <v>113</v>
      </c>
      <c r="H1355" s="18" t="str">
        <f>IFERROR(INDEX('المحافظات Governorates'!$E$2:$E$151,MATCH(D1355,'المحافظات Governorates'!$A$2:$A$151,0)),"")</f>
        <v>Qilwah</v>
      </c>
      <c r="I1355" s="18" t="str">
        <f>IFERROR(INDEX('المناطق Regions'!$C$2:$C$15,MATCH(B1355,'المناطق Regions'!$A$2:$A$15,0)),"")</f>
        <v>Al-Baha</v>
      </c>
      <c r="J1355" s="18" t="str">
        <f>F1355&amp;", "&amp;E1355&amp;", Saudi Arabia"</f>
        <v>باللسود وآل سويدي, قلوه, Saudi Arabia</v>
      </c>
      <c r="K1355" s="18">
        <v>19.944202</v>
      </c>
      <c r="L1355" s="18">
        <v>41.173927</v>
      </c>
      <c r="M1355" s="18">
        <v>38151</v>
      </c>
      <c r="N1355" s="18" t="s">
        <v>3267</v>
      </c>
    </row>
    <row r="1356" ht="15" customHeight="1" spans="1:14" x14ac:dyDescent="0.25">
      <c r="A1356" s="11" t="s">
        <v>3268</v>
      </c>
      <c r="B1356" s="11">
        <v>12</v>
      </c>
      <c r="C1356" s="12" t="s">
        <v>87</v>
      </c>
      <c r="D1356" s="11" t="s">
        <v>524</v>
      </c>
      <c r="E1356" s="12" t="s">
        <v>525</v>
      </c>
      <c r="F1356" s="12" t="s">
        <v>829</v>
      </c>
      <c r="G1356" s="11" t="s">
        <v>149</v>
      </c>
      <c r="H1356" s="18" t="str">
        <f>IFERROR(INDEX('المحافظات Governorates'!$E$2:$E$151,MATCH(D1356,'المحافظات Governorates'!$A$2:$A$151,0)),"")</f>
        <v>Qilwah</v>
      </c>
      <c r="I1356" s="18" t="str">
        <f>IFERROR(INDEX('المناطق Regions'!$C$2:$C$15,MATCH(B1356,'المناطق Regions'!$A$2:$A$15,0)),"")</f>
        <v>Al-Baha</v>
      </c>
      <c r="J1356" s="18" t="str">
        <f>F1356&amp;", "&amp;E1356&amp;", Saudi Arabia"</f>
        <v>المحمديه, قلوه, Saudi Arabia</v>
      </c>
      <c r="K1356" s="18">
        <v>19.944202</v>
      </c>
      <c r="L1356" s="18">
        <v>41.173927</v>
      </c>
      <c r="M1356" s="18">
        <v>38151</v>
      </c>
      <c r="N1356" s="18" t="s">
        <v>3267</v>
      </c>
    </row>
    <row r="1357" ht="15" customHeight="1" spans="1:14" x14ac:dyDescent="0.25">
      <c r="A1357" s="13" t="s">
        <v>3269</v>
      </c>
      <c r="B1357" s="13">
        <v>12</v>
      </c>
      <c r="C1357" s="14" t="s">
        <v>87</v>
      </c>
      <c r="D1357" s="13" t="s">
        <v>524</v>
      </c>
      <c r="E1357" s="14" t="s">
        <v>525</v>
      </c>
      <c r="F1357" s="14" t="s">
        <v>910</v>
      </c>
      <c r="G1357" s="13" t="s">
        <v>149</v>
      </c>
      <c r="H1357" s="18" t="str">
        <f>IFERROR(INDEX('المحافظات Governorates'!$E$2:$E$151,MATCH(D1357,'المحافظات Governorates'!$A$2:$A$151,0)),"")</f>
        <v>Qilwah</v>
      </c>
      <c r="I1357" s="18" t="str">
        <f>IFERROR(INDEX('المناطق Regions'!$C$2:$C$15,MATCH(B1357,'المناطق Regions'!$A$2:$A$15,0)),"")</f>
        <v>Al-Baha</v>
      </c>
      <c r="J1357" s="18" t="str">
        <f>F1357&amp;", "&amp;E1357&amp;", Saudi Arabia"</f>
        <v>الشعب, قلوه, Saudi Arabia</v>
      </c>
      <c r="K1357" s="18">
        <v>19.804766</v>
      </c>
      <c r="L1357" s="18">
        <v>41.116697</v>
      </c>
      <c r="M1357" s="18">
        <v>2000</v>
      </c>
      <c r="N1357" s="18" t="s">
        <v>562</v>
      </c>
    </row>
    <row r="1358" ht="15" customHeight="1" spans="1:14" x14ac:dyDescent="0.25">
      <c r="A1358" s="11" t="s">
        <v>3270</v>
      </c>
      <c r="B1358" s="11">
        <v>12</v>
      </c>
      <c r="C1358" s="12" t="s">
        <v>87</v>
      </c>
      <c r="D1358" s="11" t="s">
        <v>524</v>
      </c>
      <c r="E1358" s="12" t="s">
        <v>525</v>
      </c>
      <c r="F1358" s="12" t="s">
        <v>3271</v>
      </c>
      <c r="G1358" s="11" t="s">
        <v>149</v>
      </c>
      <c r="H1358" s="18" t="str">
        <f>IFERROR(INDEX('المحافظات Governorates'!$E$2:$E$151,MATCH(D1358,'المحافظات Governorates'!$A$2:$A$151,0)),"")</f>
        <v>Qilwah</v>
      </c>
      <c r="I1358" s="18" t="str">
        <f>IFERROR(INDEX('المناطق Regions'!$C$2:$C$15,MATCH(B1358,'المناطق Regions'!$A$2:$A$15,0)),"")</f>
        <v>Al-Baha</v>
      </c>
      <c r="J1358" s="18" t="str">
        <f>F1358&amp;", "&amp;E1358&amp;", Saudi Arabia"</f>
        <v>وادي ريم, قلوه, Saudi Arabia</v>
      </c>
      <c r="K1358" s="18">
        <v>20.000644</v>
      </c>
      <c r="L1358" s="18">
        <v>41.210348</v>
      </c>
      <c r="M1358" s="18">
        <v>2000</v>
      </c>
      <c r="N1358" s="18" t="s">
        <v>562</v>
      </c>
    </row>
    <row r="1359" ht="15" customHeight="1" spans="1:14" x14ac:dyDescent="0.25">
      <c r="A1359" s="13" t="s">
        <v>3272</v>
      </c>
      <c r="B1359" s="13">
        <v>12</v>
      </c>
      <c r="C1359" s="14" t="s">
        <v>87</v>
      </c>
      <c r="D1359" s="13" t="s">
        <v>527</v>
      </c>
      <c r="E1359" s="14" t="s">
        <v>528</v>
      </c>
      <c r="F1359" s="14" t="s">
        <v>3273</v>
      </c>
      <c r="G1359" s="13" t="s">
        <v>113</v>
      </c>
      <c r="H1359" s="18" t="str">
        <f>IFERROR(INDEX('المحافظات Governorates'!$E$2:$E$151,MATCH(D1359,'المحافظات Governorates'!$A$2:$A$151,0)),"")</f>
        <v>Al-Qura</v>
      </c>
      <c r="I1359" s="18" t="str">
        <f>IFERROR(INDEX('المناطق Regions'!$C$2:$C$15,MATCH(B1359,'المناطق Regions'!$A$2:$A$15,0)),"")</f>
        <v>Al-Baha</v>
      </c>
      <c r="J1359" s="18" t="str">
        <f>F1359&amp;", "&amp;E1359&amp;", Saudi Arabia"</f>
        <v>بيده, القرى, Saudi Arabia</v>
      </c>
      <c r="K1359" s="18">
        <v>20.169375</v>
      </c>
      <c r="L1359" s="18">
        <v>41.405619</v>
      </c>
      <c r="M1359" s="18">
        <v>2000</v>
      </c>
      <c r="N1359" s="18" t="s">
        <v>642</v>
      </c>
    </row>
    <row r="1360" ht="15" customHeight="1" spans="1:14" x14ac:dyDescent="0.25">
      <c r="A1360" s="11" t="s">
        <v>3274</v>
      </c>
      <c r="B1360" s="11">
        <v>12</v>
      </c>
      <c r="C1360" s="12" t="s">
        <v>87</v>
      </c>
      <c r="D1360" s="11" t="s">
        <v>527</v>
      </c>
      <c r="E1360" s="12" t="s">
        <v>528</v>
      </c>
      <c r="F1360" s="12" t="s">
        <v>3275</v>
      </c>
      <c r="G1360" s="11" t="s">
        <v>113</v>
      </c>
      <c r="H1360" s="18" t="str">
        <f>IFERROR(INDEX('المحافظات Governorates'!$E$2:$E$151,MATCH(D1360,'المحافظات Governorates'!$A$2:$A$151,0)),"")</f>
        <v>Al-Qura</v>
      </c>
      <c r="I1360" s="18" t="str">
        <f>IFERROR(INDEX('المناطق Regions'!$C$2:$C$15,MATCH(B1360,'المناطق Regions'!$A$2:$A$15,0)),"")</f>
        <v>Al-Baha</v>
      </c>
      <c r="J1360" s="18" t="str">
        <f>F1360&amp;", "&amp;E1360&amp;", Saudi Arabia"</f>
        <v>بني حرير وبني عدوان, القرى, Saudi Arabia</v>
      </c>
      <c r="K1360" s="18">
        <v>20.462693</v>
      </c>
      <c r="L1360" s="18">
        <v>41.348072</v>
      </c>
      <c r="M1360" s="18">
        <v>40950</v>
      </c>
      <c r="N1360" s="18" t="s">
        <v>3176</v>
      </c>
    </row>
    <row r="1361" ht="15" customHeight="1" spans="1:14" x14ac:dyDescent="0.25">
      <c r="A1361" s="13" t="s">
        <v>3276</v>
      </c>
      <c r="B1361" s="13">
        <v>12</v>
      </c>
      <c r="C1361" s="14" t="s">
        <v>87</v>
      </c>
      <c r="D1361" s="13" t="s">
        <v>527</v>
      </c>
      <c r="E1361" s="14" t="s">
        <v>528</v>
      </c>
      <c r="F1361" s="14" t="s">
        <v>3277</v>
      </c>
      <c r="G1361" s="13" t="s">
        <v>113</v>
      </c>
      <c r="H1361" s="18" t="str">
        <f>IFERROR(INDEX('المحافظات Governorates'!$E$2:$E$151,MATCH(D1361,'المحافظات Governorates'!$A$2:$A$151,0)),"")</f>
        <v>Al-Qura</v>
      </c>
      <c r="I1361" s="18" t="str">
        <f>IFERROR(INDEX('المناطق Regions'!$C$2:$C$15,MATCH(B1361,'المناطق Regions'!$A$2:$A$15,0)),"")</f>
        <v>Al-Baha</v>
      </c>
      <c r="J1361" s="18" t="str">
        <f>F1361&amp;", "&amp;E1361&amp;", Saudi Arabia"</f>
        <v>نخال, القرى, Saudi Arabia</v>
      </c>
      <c r="K1361" s="18">
        <v>20.462693</v>
      </c>
      <c r="L1361" s="18">
        <v>41.348072</v>
      </c>
      <c r="M1361" s="18">
        <v>40950</v>
      </c>
      <c r="N1361" s="18" t="s">
        <v>3176</v>
      </c>
    </row>
    <row r="1362" ht="15" customHeight="1" spans="1:14" x14ac:dyDescent="0.25">
      <c r="A1362" s="11" t="s">
        <v>3278</v>
      </c>
      <c r="B1362" s="11">
        <v>12</v>
      </c>
      <c r="C1362" s="12" t="s">
        <v>87</v>
      </c>
      <c r="D1362" s="11" t="s">
        <v>527</v>
      </c>
      <c r="E1362" s="12" t="s">
        <v>528</v>
      </c>
      <c r="F1362" s="12" t="s">
        <v>3279</v>
      </c>
      <c r="G1362" s="11" t="s">
        <v>113</v>
      </c>
      <c r="H1362" s="18" t="str">
        <f>IFERROR(INDEX('المحافظات Governorates'!$E$2:$E$151,MATCH(D1362,'المحافظات Governorates'!$A$2:$A$151,0)),"")</f>
        <v>Al-Qura</v>
      </c>
      <c r="I1362" s="18" t="str">
        <f>IFERROR(INDEX('المناطق Regions'!$C$2:$C$15,MATCH(B1362,'المناطق Regions'!$A$2:$A$15,0)),"")</f>
        <v>Al-Baha</v>
      </c>
      <c r="J1362" s="18" t="str">
        <f>F1362&amp;", "&amp;E1362&amp;", Saudi Arabia"</f>
        <v>معشوقه, القرى, Saudi Arabia</v>
      </c>
      <c r="K1362" s="18">
        <v>20.381589</v>
      </c>
      <c r="L1362" s="18">
        <v>41.393005</v>
      </c>
      <c r="M1362" s="18">
        <v>2000</v>
      </c>
      <c r="N1362" s="18" t="s">
        <v>562</v>
      </c>
    </row>
    <row r="1363" ht="15" customHeight="1" spans="1:14" x14ac:dyDescent="0.25">
      <c r="A1363" s="13" t="s">
        <v>3280</v>
      </c>
      <c r="B1363" s="13">
        <v>12</v>
      </c>
      <c r="C1363" s="14" t="s">
        <v>87</v>
      </c>
      <c r="D1363" s="13" t="s">
        <v>527</v>
      </c>
      <c r="E1363" s="14" t="s">
        <v>528</v>
      </c>
      <c r="F1363" s="14" t="s">
        <v>3281</v>
      </c>
      <c r="G1363" s="13" t="s">
        <v>113</v>
      </c>
      <c r="H1363" s="18" t="str">
        <f>IFERROR(INDEX('المحافظات Governorates'!$E$2:$E$151,MATCH(D1363,'المحافظات Governorates'!$A$2:$A$151,0)),"")</f>
        <v>Al-Qura</v>
      </c>
      <c r="I1363" s="18" t="str">
        <f>IFERROR(INDEX('المناطق Regions'!$C$2:$C$15,MATCH(B1363,'المناطق Regions'!$A$2:$A$15,0)),"")</f>
        <v>Al-Baha</v>
      </c>
      <c r="J1363" s="18" t="str">
        <f>F1363&amp;", "&amp;E1363&amp;", Saudi Arabia"</f>
        <v>تربة الخيالة, القرى, Saudi Arabia</v>
      </c>
      <c r="K1363" s="18">
        <v>20.462693</v>
      </c>
      <c r="L1363" s="18">
        <v>41.348072</v>
      </c>
      <c r="M1363" s="18">
        <v>40950</v>
      </c>
      <c r="N1363" s="18" t="s">
        <v>3176</v>
      </c>
    </row>
    <row r="1364" ht="15" customHeight="1" spans="1:14" x14ac:dyDescent="0.25">
      <c r="A1364" s="11" t="s">
        <v>3282</v>
      </c>
      <c r="B1364" s="11">
        <v>12</v>
      </c>
      <c r="C1364" s="12" t="s">
        <v>87</v>
      </c>
      <c r="D1364" s="11" t="s">
        <v>530</v>
      </c>
      <c r="E1364" s="12" t="s">
        <v>531</v>
      </c>
      <c r="F1364" s="12" t="s">
        <v>2510</v>
      </c>
      <c r="G1364" s="11" t="s">
        <v>113</v>
      </c>
      <c r="H1364" s="18" t="str">
        <f>IFERROR(INDEX('المحافظات Governorates'!$E$2:$E$151,MATCH(D1364,'المحافظات Governorates'!$A$2:$A$151,0)),"")</f>
        <v>Bani Hasan</v>
      </c>
      <c r="I1364" s="18" t="str">
        <f>IFERROR(INDEX('المناطق Regions'!$C$2:$C$15,MATCH(B1364,'المناطق Regions'!$A$2:$A$15,0)),"")</f>
        <v>Al-Baha</v>
      </c>
      <c r="J1364" s="18" t="str">
        <f>F1364&amp;", "&amp;E1364&amp;", Saudi Arabia"</f>
        <v>بيضان, بني حسن, Saudi Arabia</v>
      </c>
      <c r="K1364" s="18">
        <v>20.082977</v>
      </c>
      <c r="L1364" s="18">
        <v>41.370562</v>
      </c>
      <c r="M1364" s="18">
        <v>11452</v>
      </c>
      <c r="N1364" s="18" t="s">
        <v>3283</v>
      </c>
    </row>
    <row r="1365" ht="15" customHeight="1" spans="1:14" x14ac:dyDescent="0.25">
      <c r="A1365" s="13" t="s">
        <v>3284</v>
      </c>
      <c r="B1365" s="13">
        <v>12</v>
      </c>
      <c r="C1365" s="14" t="s">
        <v>87</v>
      </c>
      <c r="D1365" s="13" t="s">
        <v>530</v>
      </c>
      <c r="E1365" s="14" t="s">
        <v>531</v>
      </c>
      <c r="F1365" s="14" t="s">
        <v>3285</v>
      </c>
      <c r="G1365" s="13" t="s">
        <v>113</v>
      </c>
      <c r="H1365" s="18" t="str">
        <f>IFERROR(INDEX('المحافظات Governorates'!$E$2:$E$151,MATCH(D1365,'المحافظات Governorates'!$A$2:$A$151,0)),"")</f>
        <v>Bani Hasan</v>
      </c>
      <c r="I1365" s="18" t="str">
        <f>IFERROR(INDEX('المناطق Regions'!$C$2:$C$15,MATCH(B1365,'المناطق Regions'!$A$2:$A$15,0)),"")</f>
        <v>Al-Baha</v>
      </c>
      <c r="J1365" s="18" t="str">
        <f>F1365&amp;", "&amp;E1365&amp;", Saudi Arabia"</f>
        <v>وادي الصدر, بني حسن, Saudi Arabia</v>
      </c>
      <c r="K1365" s="18">
        <v>20.122161</v>
      </c>
      <c r="L1365" s="18">
        <v>41.37641</v>
      </c>
      <c r="M1365" s="18">
        <v>2000</v>
      </c>
      <c r="N1365" s="18" t="s">
        <v>562</v>
      </c>
    </row>
    <row r="1366" ht="15" customHeight="1" spans="1:14" x14ac:dyDescent="0.25">
      <c r="A1366" s="11" t="s">
        <v>3286</v>
      </c>
      <c r="B1366" s="11">
        <v>12</v>
      </c>
      <c r="C1366" s="12" t="s">
        <v>87</v>
      </c>
      <c r="D1366" s="11" t="s">
        <v>533</v>
      </c>
      <c r="E1366" s="12" t="s">
        <v>3287</v>
      </c>
      <c r="F1366" s="12" t="s">
        <v>3288</v>
      </c>
      <c r="G1366" s="11" t="s">
        <v>113</v>
      </c>
      <c r="H1366" s="18" t="str">
        <f>IFERROR(INDEX('المحافظات Governorates'!$E$2:$E$151,MATCH(D1366,'المحافظات Governorates'!$A$2:$A$151,0)),"")</f>
        <v>Ghamid Az-Zinad</v>
      </c>
      <c r="I1366" s="18" t="str">
        <f>IFERROR(INDEX('المناطق Regions'!$C$2:$C$15,MATCH(B1366,'المناطق Regions'!$A$2:$A$15,0)),"")</f>
        <v>Al-Baha</v>
      </c>
      <c r="J1366" s="18" t="str">
        <f>F1366&amp;", "&amp;E1366&amp;", Saudi Arabia"</f>
        <v>بطاط, غامد الزناد, Saudi Arabia</v>
      </c>
      <c r="K1366" s="18">
        <v>19.608987</v>
      </c>
      <c r="L1366" s="18">
        <v>41.449265</v>
      </c>
      <c r="M1366" s="18">
        <v>40000</v>
      </c>
      <c r="N1366" s="18" t="s">
        <v>1130</v>
      </c>
    </row>
    <row r="1367" ht="15" customHeight="1" spans="1:14" x14ac:dyDescent="0.25">
      <c r="A1367" s="13" t="s">
        <v>3289</v>
      </c>
      <c r="B1367" s="13">
        <v>12</v>
      </c>
      <c r="C1367" s="14" t="s">
        <v>87</v>
      </c>
      <c r="D1367" s="13" t="s">
        <v>533</v>
      </c>
      <c r="E1367" s="14" t="s">
        <v>3287</v>
      </c>
      <c r="F1367" s="14" t="s">
        <v>3290</v>
      </c>
      <c r="G1367" s="13" t="s">
        <v>149</v>
      </c>
      <c r="H1367" s="18" t="str">
        <f>IFERROR(INDEX('المحافظات Governorates'!$E$2:$E$151,MATCH(D1367,'المحافظات Governorates'!$A$2:$A$151,0)),"")</f>
        <v>Ghamid Az-Zinad</v>
      </c>
      <c r="I1367" s="18" t="str">
        <f>IFERROR(INDEX('المناطق Regions'!$C$2:$C$15,MATCH(B1367,'المناطق Regions'!$A$2:$A$15,0)),"")</f>
        <v>Al-Baha</v>
      </c>
      <c r="J1367" s="18" t="str">
        <f>F1367&amp;", "&amp;E1367&amp;", Saudi Arabia"</f>
        <v>نصبه وجبال المسودة, غامد الزناد, Saudi Arabia</v>
      </c>
      <c r="K1367" s="18">
        <v>19.608987</v>
      </c>
      <c r="L1367" s="18">
        <v>41.449265</v>
      </c>
      <c r="M1367" s="18">
        <v>40000</v>
      </c>
      <c r="N1367" s="18" t="s">
        <v>1130</v>
      </c>
    </row>
    <row r="1368" ht="15" customHeight="1" spans="1:14" x14ac:dyDescent="0.25">
      <c r="A1368" s="11" t="s">
        <v>3291</v>
      </c>
      <c r="B1368" s="11">
        <v>12</v>
      </c>
      <c r="C1368" s="12" t="s">
        <v>87</v>
      </c>
      <c r="D1368" s="11" t="s">
        <v>533</v>
      </c>
      <c r="E1368" s="12" t="s">
        <v>3287</v>
      </c>
      <c r="F1368" s="12" t="s">
        <v>3292</v>
      </c>
      <c r="G1368" s="11" t="s">
        <v>113</v>
      </c>
      <c r="H1368" s="18" t="str">
        <f>IFERROR(INDEX('المحافظات Governorates'!$E$2:$E$151,MATCH(D1368,'المحافظات Governorates'!$A$2:$A$151,0)),"")</f>
        <v>Ghamid Az-Zinad</v>
      </c>
      <c r="I1368" s="18" t="str">
        <f>IFERROR(INDEX('المناطق Regions'!$C$2:$C$15,MATCH(B1368,'المناطق Regions'!$A$2:$A$15,0)),"")</f>
        <v>Al-Baha</v>
      </c>
      <c r="J1368" s="18" t="str">
        <f>F1368&amp;", "&amp;E1368&amp;", Saudi Arabia"</f>
        <v>يبس, غامد الزناد, Saudi Arabia</v>
      </c>
      <c r="K1368" s="18">
        <v>19.540448</v>
      </c>
      <c r="L1368" s="18">
        <v>41.361923</v>
      </c>
      <c r="M1368" s="18">
        <v>2000</v>
      </c>
      <c r="N1368" s="18" t="s">
        <v>642</v>
      </c>
    </row>
    <row r="1369" ht="15" customHeight="1" spans="1:14" x14ac:dyDescent="0.25">
      <c r="A1369" s="13" t="s">
        <v>3293</v>
      </c>
      <c r="B1369" s="13">
        <v>12</v>
      </c>
      <c r="C1369" s="14" t="s">
        <v>87</v>
      </c>
      <c r="D1369" s="13" t="s">
        <v>536</v>
      </c>
      <c r="E1369" s="14" t="s">
        <v>537</v>
      </c>
      <c r="F1369" s="14" t="s">
        <v>3294</v>
      </c>
      <c r="G1369" s="13" t="s">
        <v>149</v>
      </c>
      <c r="H1369" s="18" t="str">
        <f>IFERROR(INDEX('المحافظات Governorates'!$E$2:$E$151,MATCH(D1369,'المحافظات Governorates'!$A$2:$A$151,0)),"")</f>
        <v>Al-Hajrah</v>
      </c>
      <c r="I1369" s="18" t="str">
        <f>IFERROR(INDEX('المناطق Regions'!$C$2:$C$15,MATCH(B1369,'المناطق Regions'!$A$2:$A$15,0)),"")</f>
        <v>Al-Baha</v>
      </c>
      <c r="J1369" s="18" t="str">
        <f>F1369&amp;", "&amp;E1369&amp;", Saudi Arabia"</f>
        <v>جرداء بني علي, الحجرة, Saudi Arabia</v>
      </c>
      <c r="K1369" s="18">
        <v>20.155059</v>
      </c>
      <c r="L1369" s="18">
        <v>41.01762</v>
      </c>
      <c r="M1369" s="18">
        <v>34236</v>
      </c>
      <c r="N1369" s="18" t="s">
        <v>575</v>
      </c>
    </row>
    <row r="1370" ht="15" customHeight="1" spans="1:14" x14ac:dyDescent="0.25">
      <c r="A1370" s="11" t="s">
        <v>3295</v>
      </c>
      <c r="B1370" s="11">
        <v>12</v>
      </c>
      <c r="C1370" s="12" t="s">
        <v>87</v>
      </c>
      <c r="D1370" s="11" t="s">
        <v>536</v>
      </c>
      <c r="E1370" s="12" t="s">
        <v>537</v>
      </c>
      <c r="F1370" s="12" t="s">
        <v>3296</v>
      </c>
      <c r="G1370" s="11" t="s">
        <v>113</v>
      </c>
      <c r="H1370" s="18" t="str">
        <f>IFERROR(INDEX('المحافظات Governorates'!$E$2:$E$151,MATCH(D1370,'المحافظات Governorates'!$A$2:$A$151,0)),"")</f>
        <v>Al-Hajrah</v>
      </c>
      <c r="I1370" s="18" t="str">
        <f>IFERROR(INDEX('المناطق Regions'!$C$2:$C$15,MATCH(B1370,'المناطق Regions'!$A$2:$A$15,0)),"")</f>
        <v>Al-Baha</v>
      </c>
      <c r="J1370" s="18" t="str">
        <f>F1370&amp;", "&amp;E1370&amp;", Saudi Arabia"</f>
        <v>الجرين, الحجرة, Saudi Arabia</v>
      </c>
      <c r="K1370" s="18">
        <v>20.155059</v>
      </c>
      <c r="L1370" s="18">
        <v>41.01762</v>
      </c>
      <c r="M1370" s="18">
        <v>34236</v>
      </c>
      <c r="N1370" s="18" t="s">
        <v>575</v>
      </c>
    </row>
    <row r="1371" ht="15" customHeight="1" spans="1:14" x14ac:dyDescent="0.25">
      <c r="A1371" s="13" t="s">
        <v>3297</v>
      </c>
      <c r="B1371" s="13">
        <v>12</v>
      </c>
      <c r="C1371" s="14" t="s">
        <v>87</v>
      </c>
      <c r="D1371" s="13" t="s">
        <v>536</v>
      </c>
      <c r="E1371" s="14" t="s">
        <v>537</v>
      </c>
      <c r="F1371" s="14" t="s">
        <v>3298</v>
      </c>
      <c r="G1371" s="13" t="s">
        <v>149</v>
      </c>
      <c r="H1371" s="18" t="str">
        <f>IFERROR(INDEX('المحافظات Governorates'!$E$2:$E$151,MATCH(D1371,'المحافظات Governorates'!$A$2:$A$151,0)),"")</f>
        <v>Al-Hajrah</v>
      </c>
      <c r="I1371" s="18" t="str">
        <f>IFERROR(INDEX('المناطق Regions'!$C$2:$C$15,MATCH(B1371,'المناطق Regions'!$A$2:$A$15,0)),"")</f>
        <v>Al-Baha</v>
      </c>
      <c r="J1371" s="18" t="str">
        <f>F1371&amp;", "&amp;E1371&amp;", Saudi Arabia"</f>
        <v>وادي رما, الحجرة, Saudi Arabia</v>
      </c>
      <c r="K1371" s="18">
        <v>20.166166</v>
      </c>
      <c r="L1371" s="18">
        <v>41.15982</v>
      </c>
      <c r="M1371" s="18">
        <v>2000</v>
      </c>
      <c r="N1371" s="18" t="s">
        <v>562</v>
      </c>
    </row>
    <row r="1372" ht="15" customHeight="1" spans="1:14" x14ac:dyDescent="0.25">
      <c r="A1372" s="11" t="s">
        <v>3299</v>
      </c>
      <c r="B1372" s="11">
        <v>12</v>
      </c>
      <c r="C1372" s="12" t="s">
        <v>87</v>
      </c>
      <c r="D1372" s="11" t="s">
        <v>536</v>
      </c>
      <c r="E1372" s="12" t="s">
        <v>537</v>
      </c>
      <c r="F1372" s="12" t="s">
        <v>3300</v>
      </c>
      <c r="G1372" s="11" t="s">
        <v>149</v>
      </c>
      <c r="H1372" s="18" t="str">
        <f>IFERROR(INDEX('المحافظات Governorates'!$E$2:$E$151,MATCH(D1372,'المحافظات Governorates'!$A$2:$A$151,0)),"")</f>
        <v>Al-Hajrah</v>
      </c>
      <c r="I1372" s="18" t="str">
        <f>IFERROR(INDEX('المناطق Regions'!$C$2:$C$15,MATCH(B1372,'المناطق Regions'!$A$2:$A$15,0)),"")</f>
        <v>Al-Baha</v>
      </c>
      <c r="J1372" s="18" t="str">
        <f>F1372&amp;", "&amp;E1372&amp;", Saudi Arabia"</f>
        <v>بني عطا, الحجرة, Saudi Arabia</v>
      </c>
      <c r="K1372" s="18">
        <v>20.155059</v>
      </c>
      <c r="L1372" s="18">
        <v>41.01762</v>
      </c>
      <c r="M1372" s="18">
        <v>34236</v>
      </c>
      <c r="N1372" s="18" t="s">
        <v>575</v>
      </c>
    </row>
    <row r="1373" ht="15" customHeight="1" spans="1:14" x14ac:dyDescent="0.25">
      <c r="A1373" s="13" t="s">
        <v>3301</v>
      </c>
      <c r="B1373" s="13">
        <v>13</v>
      </c>
      <c r="C1373" s="14" t="s">
        <v>90</v>
      </c>
      <c r="D1373" s="13" t="s">
        <v>539</v>
      </c>
      <c r="E1373" s="14" t="s">
        <v>93</v>
      </c>
      <c r="F1373" s="14" t="s">
        <v>3302</v>
      </c>
      <c r="G1373" s="13" t="s">
        <v>113</v>
      </c>
      <c r="H1373" s="18" t="str">
        <f>IFERROR(INDEX('المحافظات Governorates'!$E$2:$E$151,MATCH(D1373,'المحافظات Governorates'!$A$2:$A$151,0)),"")</f>
        <v>Sakaka</v>
      </c>
      <c r="I1373" s="18" t="str">
        <f>IFERROR(INDEX('المناطق Regions'!$C$2:$C$15,MATCH(B1373,'المناطق Regions'!$A$2:$A$15,0)),"")</f>
        <v>Al-Jouf</v>
      </c>
      <c r="J1373" s="18" t="str">
        <f>F1373&amp;", "&amp;E1373&amp;", Saudi Arabia"</f>
        <v>صوير, سكاكا, Saudi Arabia</v>
      </c>
      <c r="K1373" s="18">
        <v>30.117261</v>
      </c>
      <c r="L1373" s="18">
        <v>40.388811</v>
      </c>
      <c r="M1373" s="18">
        <v>2000</v>
      </c>
      <c r="N1373" s="18" t="s">
        <v>562</v>
      </c>
    </row>
    <row r="1374" ht="15" customHeight="1" spans="1:14" x14ac:dyDescent="0.25">
      <c r="A1374" s="11" t="s">
        <v>3303</v>
      </c>
      <c r="B1374" s="11">
        <v>13</v>
      </c>
      <c r="C1374" s="12" t="s">
        <v>90</v>
      </c>
      <c r="D1374" s="11" t="s">
        <v>539</v>
      </c>
      <c r="E1374" s="12" t="s">
        <v>93</v>
      </c>
      <c r="F1374" s="12" t="s">
        <v>3304</v>
      </c>
      <c r="G1374" s="11" t="s">
        <v>113</v>
      </c>
      <c r="H1374" s="18" t="str">
        <f>IFERROR(INDEX('المحافظات Governorates'!$E$2:$E$151,MATCH(D1374,'المحافظات Governorates'!$A$2:$A$151,0)),"")</f>
        <v>Sakaka</v>
      </c>
      <c r="I1374" s="18" t="str">
        <f>IFERROR(INDEX('المناطق Regions'!$C$2:$C$15,MATCH(B1374,'المناطق Regions'!$A$2:$A$15,0)),"")</f>
        <v>Al-Jouf</v>
      </c>
      <c r="J1374" s="18" t="str">
        <f>F1374&amp;", "&amp;E1374&amp;", Saudi Arabia"</f>
        <v>خوعاء, سكاكا, Saudi Arabia</v>
      </c>
      <c r="K1374" s="18">
        <v>29.800833</v>
      </c>
      <c r="L1374" s="18">
        <v>40.443889</v>
      </c>
      <c r="M1374" s="18">
        <v>2000</v>
      </c>
      <c r="N1374" s="18" t="s">
        <v>562</v>
      </c>
    </row>
    <row r="1375" ht="15" customHeight="1" spans="1:14" x14ac:dyDescent="0.25">
      <c r="A1375" s="13" t="s">
        <v>3305</v>
      </c>
      <c r="B1375" s="13">
        <v>13</v>
      </c>
      <c r="C1375" s="14" t="s">
        <v>90</v>
      </c>
      <c r="D1375" s="13" t="s">
        <v>539</v>
      </c>
      <c r="E1375" s="14" t="s">
        <v>93</v>
      </c>
      <c r="F1375" s="14" t="s">
        <v>3306</v>
      </c>
      <c r="G1375" s="13" t="s">
        <v>113</v>
      </c>
      <c r="H1375" s="18" t="str">
        <f>IFERROR(INDEX('المحافظات Governorates'!$E$2:$E$151,MATCH(D1375,'المحافظات Governorates'!$A$2:$A$151,0)),"")</f>
        <v>Sakaka</v>
      </c>
      <c r="I1375" s="18" t="str">
        <f>IFERROR(INDEX('المناطق Regions'!$C$2:$C$15,MATCH(B1375,'المناطق Regions'!$A$2:$A$15,0)),"")</f>
        <v>Al-Jouf</v>
      </c>
      <c r="J1375" s="18" t="str">
        <f>F1375&amp;", "&amp;E1375&amp;", Saudi Arabia"</f>
        <v>الفياض, سكاكا, Saudi Arabia</v>
      </c>
      <c r="K1375" s="18">
        <v>30.022016</v>
      </c>
      <c r="L1375" s="18">
        <v>40.066634</v>
      </c>
      <c r="M1375" s="18">
        <v>2000</v>
      </c>
      <c r="N1375" s="18" t="s">
        <v>562</v>
      </c>
    </row>
    <row r="1376" ht="15" customHeight="1" spans="1:14" x14ac:dyDescent="0.25">
      <c r="A1376" s="11" t="s">
        <v>3307</v>
      </c>
      <c r="B1376" s="11">
        <v>13</v>
      </c>
      <c r="C1376" s="12" t="s">
        <v>90</v>
      </c>
      <c r="D1376" s="11" t="s">
        <v>539</v>
      </c>
      <c r="E1376" s="12" t="s">
        <v>93</v>
      </c>
      <c r="F1376" s="12" t="s">
        <v>3308</v>
      </c>
      <c r="G1376" s="11" t="s">
        <v>113</v>
      </c>
      <c r="H1376" s="18" t="str">
        <f>IFERROR(INDEX('المحافظات Governorates'!$E$2:$E$151,MATCH(D1376,'المحافظات Governorates'!$A$2:$A$151,0)),"")</f>
        <v>Sakaka</v>
      </c>
      <c r="I1376" s="18" t="str">
        <f>IFERROR(INDEX('المناطق Regions'!$C$2:$C$15,MATCH(B1376,'المناطق Regions'!$A$2:$A$15,0)),"")</f>
        <v>Al-Jouf</v>
      </c>
      <c r="J1376" s="18" t="str">
        <f>F1376&amp;", "&amp;E1376&amp;", Saudi Arabia"</f>
        <v>عذفاء, سكاكا, Saudi Arabia</v>
      </c>
      <c r="K1376" s="18">
        <v>29.255227</v>
      </c>
      <c r="L1376" s="18">
        <v>41.444745</v>
      </c>
      <c r="M1376" s="18">
        <v>2000</v>
      </c>
      <c r="N1376" s="18" t="s">
        <v>562</v>
      </c>
    </row>
    <row r="1377" ht="15" customHeight="1" spans="1:14" x14ac:dyDescent="0.25">
      <c r="A1377" s="13" t="s">
        <v>3309</v>
      </c>
      <c r="B1377" s="13">
        <v>13</v>
      </c>
      <c r="C1377" s="14" t="s">
        <v>90</v>
      </c>
      <c r="D1377" s="13" t="s">
        <v>539</v>
      </c>
      <c r="E1377" s="14" t="s">
        <v>93</v>
      </c>
      <c r="F1377" s="14" t="s">
        <v>2939</v>
      </c>
      <c r="G1377" s="13" t="s">
        <v>149</v>
      </c>
      <c r="H1377" s="18" t="str">
        <f>IFERROR(INDEX('المحافظات Governorates'!$E$2:$E$151,MATCH(D1377,'المحافظات Governorates'!$A$2:$A$151,0)),"")</f>
        <v>Sakaka</v>
      </c>
      <c r="I1377" s="18" t="str">
        <f>IFERROR(INDEX('المناطق Regions'!$C$2:$C$15,MATCH(B1377,'المناطق Regions'!$A$2:$A$15,0)),"")</f>
        <v>Al-Jouf</v>
      </c>
      <c r="J1377" s="18" t="str">
        <f>F1377&amp;", "&amp;E1377&amp;", Saudi Arabia"</f>
        <v>المرير, سكاكا, Saudi Arabia</v>
      </c>
      <c r="K1377" s="18">
        <v>30.050692</v>
      </c>
      <c r="L1377" s="18">
        <v>39.915489</v>
      </c>
      <c r="M1377" s="18">
        <v>2000</v>
      </c>
      <c r="N1377" s="18" t="s">
        <v>562</v>
      </c>
    </row>
    <row r="1378" ht="15" customHeight="1" spans="1:14" x14ac:dyDescent="0.25">
      <c r="A1378" s="11" t="s">
        <v>3310</v>
      </c>
      <c r="B1378" s="11">
        <v>13</v>
      </c>
      <c r="C1378" s="12" t="s">
        <v>90</v>
      </c>
      <c r="D1378" s="11" t="s">
        <v>539</v>
      </c>
      <c r="E1378" s="12" t="s">
        <v>93</v>
      </c>
      <c r="F1378" s="12" t="s">
        <v>3311</v>
      </c>
      <c r="G1378" s="11" t="s">
        <v>149</v>
      </c>
      <c r="H1378" s="18" t="str">
        <f>IFERROR(INDEX('المحافظات Governorates'!$E$2:$E$151,MATCH(D1378,'المحافظات Governorates'!$A$2:$A$151,0)),"")</f>
        <v>Sakaka</v>
      </c>
      <c r="I1378" s="18" t="str">
        <f>IFERROR(INDEX('المناطق Regions'!$C$2:$C$15,MATCH(B1378,'المناطق Regions'!$A$2:$A$15,0)),"")</f>
        <v>Al-Jouf</v>
      </c>
      <c r="J1378" s="18" t="str">
        <f>F1378&amp;", "&amp;E1378&amp;", Saudi Arabia"</f>
        <v>طلعة عمار, سكاكا, Saudi Arabia</v>
      </c>
      <c r="K1378" s="18">
        <v>30.659324</v>
      </c>
      <c r="L1378" s="18">
        <v>40.562196</v>
      </c>
      <c r="M1378" s="18">
        <v>2000</v>
      </c>
      <c r="N1378" s="18" t="s">
        <v>562</v>
      </c>
    </row>
    <row r="1379" ht="15" customHeight="1" spans="1:14" x14ac:dyDescent="0.25">
      <c r="A1379" s="13" t="s">
        <v>3312</v>
      </c>
      <c r="B1379" s="13">
        <v>13</v>
      </c>
      <c r="C1379" s="14" t="s">
        <v>90</v>
      </c>
      <c r="D1379" s="13" t="s">
        <v>539</v>
      </c>
      <c r="E1379" s="14" t="s">
        <v>93</v>
      </c>
      <c r="F1379" s="14" t="s">
        <v>3313</v>
      </c>
      <c r="G1379" s="13" t="s">
        <v>113</v>
      </c>
      <c r="H1379" s="18" t="str">
        <f>IFERROR(INDEX('المحافظات Governorates'!$E$2:$E$151,MATCH(D1379,'المحافظات Governorates'!$A$2:$A$151,0)),"")</f>
        <v>Sakaka</v>
      </c>
      <c r="I1379" s="18" t="str">
        <f>IFERROR(INDEX('المناطق Regions'!$C$2:$C$15,MATCH(B1379,'المناطق Regions'!$A$2:$A$15,0)),"")</f>
        <v>Al-Jouf</v>
      </c>
      <c r="J1379" s="18" t="str">
        <f>F1379&amp;", "&amp;E1379&amp;", Saudi Arabia"</f>
        <v>زلوم, سكاكا, Saudi Arabia</v>
      </c>
      <c r="K1379" s="18">
        <v>30.168056</v>
      </c>
      <c r="L1379" s="18">
        <v>40.296944</v>
      </c>
      <c r="M1379" s="18">
        <v>2000</v>
      </c>
      <c r="N1379" s="18" t="s">
        <v>562</v>
      </c>
    </row>
    <row r="1380" ht="15" customHeight="1" spans="1:14" x14ac:dyDescent="0.25">
      <c r="A1380" s="11" t="s">
        <v>3314</v>
      </c>
      <c r="B1380" s="11">
        <v>13</v>
      </c>
      <c r="C1380" s="12" t="s">
        <v>90</v>
      </c>
      <c r="D1380" s="11" t="s">
        <v>539</v>
      </c>
      <c r="E1380" s="12" t="s">
        <v>93</v>
      </c>
      <c r="F1380" s="12" t="s">
        <v>3315</v>
      </c>
      <c r="G1380" s="11" t="s">
        <v>149</v>
      </c>
      <c r="H1380" s="18" t="str">
        <f>IFERROR(INDEX('المحافظات Governorates'!$E$2:$E$151,MATCH(D1380,'المحافظات Governorates'!$A$2:$A$151,0)),"")</f>
        <v>Sakaka</v>
      </c>
      <c r="I1380" s="18" t="str">
        <f>IFERROR(INDEX('المناطق Regions'!$C$2:$C$15,MATCH(B1380,'المناطق Regions'!$A$2:$A$15,0)),"")</f>
        <v>Al-Jouf</v>
      </c>
      <c r="J1380" s="18" t="str">
        <f>F1380&amp;", "&amp;E1380&amp;", Saudi Arabia"</f>
        <v>أم إذان بخوعاء, سكاكا, Saudi Arabia</v>
      </c>
      <c r="K1380" s="18">
        <v>30.070317</v>
      </c>
      <c r="L1380" s="18">
        <v>40.718794</v>
      </c>
      <c r="M1380" s="18">
        <v>166046</v>
      </c>
      <c r="N1380" s="18" t="s">
        <v>3316</v>
      </c>
    </row>
    <row r="1381" ht="15" customHeight="1" spans="1:14" x14ac:dyDescent="0.25">
      <c r="A1381" s="13" t="s">
        <v>3317</v>
      </c>
      <c r="B1381" s="13">
        <v>13</v>
      </c>
      <c r="C1381" s="14" t="s">
        <v>90</v>
      </c>
      <c r="D1381" s="13" t="s">
        <v>539</v>
      </c>
      <c r="E1381" s="14" t="s">
        <v>93</v>
      </c>
      <c r="F1381" s="14" t="s">
        <v>3318</v>
      </c>
      <c r="G1381" s="13" t="s">
        <v>149</v>
      </c>
      <c r="H1381" s="18" t="str">
        <f>IFERROR(INDEX('المحافظات Governorates'!$E$2:$E$151,MATCH(D1381,'المحافظات Governorates'!$A$2:$A$151,0)),"")</f>
        <v>Sakaka</v>
      </c>
      <c r="I1381" s="18" t="str">
        <f>IFERROR(INDEX('المناطق Regions'!$C$2:$C$15,MATCH(B1381,'المناطق Regions'!$A$2:$A$15,0)),"")</f>
        <v>Al-Jouf</v>
      </c>
      <c r="J1381" s="18" t="str">
        <f>F1381&amp;", "&amp;E1381&amp;", Saudi Arabia"</f>
        <v>الشويحطيه, سكاكا, Saudi Arabia</v>
      </c>
      <c r="K1381" s="18">
        <v>30.31</v>
      </c>
      <c r="L1381" s="18">
        <v>40.196389</v>
      </c>
      <c r="M1381" s="18">
        <v>2000</v>
      </c>
      <c r="N1381" s="18" t="s">
        <v>562</v>
      </c>
    </row>
    <row r="1382" ht="15" customHeight="1" spans="1:14" x14ac:dyDescent="0.25">
      <c r="A1382" s="11" t="s">
        <v>3319</v>
      </c>
      <c r="B1382" s="11">
        <v>13</v>
      </c>
      <c r="C1382" s="12" t="s">
        <v>90</v>
      </c>
      <c r="D1382" s="11" t="s">
        <v>539</v>
      </c>
      <c r="E1382" s="12" t="s">
        <v>93</v>
      </c>
      <c r="F1382" s="12" t="s">
        <v>3320</v>
      </c>
      <c r="G1382" s="11" t="s">
        <v>113</v>
      </c>
      <c r="H1382" s="18" t="str">
        <f>IFERROR(INDEX('المحافظات Governorates'!$E$2:$E$151,MATCH(D1382,'المحافظات Governorates'!$A$2:$A$151,0)),"")</f>
        <v>Sakaka</v>
      </c>
      <c r="I1382" s="18" t="str">
        <f>IFERROR(INDEX('المناطق Regions'!$C$2:$C$15,MATCH(B1382,'المناطق Regions'!$A$2:$A$15,0)),"")</f>
        <v>Al-Jouf</v>
      </c>
      <c r="J1382" s="18" t="str">
        <f>F1382&amp;", "&amp;E1382&amp;", Saudi Arabia"</f>
        <v>الرفيعة, سكاكا, Saudi Arabia</v>
      </c>
      <c r="K1382" s="18">
        <v>30.063335</v>
      </c>
      <c r="L1382" s="18">
        <v>40.320771</v>
      </c>
      <c r="M1382" s="18">
        <v>2000</v>
      </c>
      <c r="N1382" s="18" t="s">
        <v>562</v>
      </c>
    </row>
    <row r="1383" ht="15" customHeight="1" spans="1:14" x14ac:dyDescent="0.25">
      <c r="A1383" s="13" t="s">
        <v>3321</v>
      </c>
      <c r="B1383" s="13">
        <v>13</v>
      </c>
      <c r="C1383" s="14" t="s">
        <v>90</v>
      </c>
      <c r="D1383" s="13" t="s">
        <v>539</v>
      </c>
      <c r="E1383" s="14" t="s">
        <v>93</v>
      </c>
      <c r="F1383" s="14" t="s">
        <v>3322</v>
      </c>
      <c r="G1383" s="13" t="s">
        <v>113</v>
      </c>
      <c r="H1383" s="18" t="str">
        <f>IFERROR(INDEX('المحافظات Governorates'!$E$2:$E$151,MATCH(D1383,'المحافظات Governorates'!$A$2:$A$151,0)),"")</f>
        <v>Sakaka</v>
      </c>
      <c r="I1383" s="18" t="str">
        <f>IFERROR(INDEX('المناطق Regions'!$C$2:$C$15,MATCH(B1383,'المناطق Regions'!$A$2:$A$15,0)),"")</f>
        <v>Al-Jouf</v>
      </c>
      <c r="J1383" s="18" t="str">
        <f>F1383&amp;", "&amp;E1383&amp;", Saudi Arabia"</f>
        <v>هديب, سكاكا, Saudi Arabia</v>
      </c>
      <c r="K1383" s="18">
        <v>30.071667</v>
      </c>
      <c r="L1383" s="18">
        <v>40.393889</v>
      </c>
      <c r="M1383" s="18">
        <v>2000</v>
      </c>
      <c r="N1383" s="18" t="s">
        <v>562</v>
      </c>
    </row>
    <row r="1384" ht="15" customHeight="1" spans="1:14" x14ac:dyDescent="0.25">
      <c r="A1384" s="11" t="s">
        <v>3323</v>
      </c>
      <c r="B1384" s="11">
        <v>13</v>
      </c>
      <c r="C1384" s="12" t="s">
        <v>90</v>
      </c>
      <c r="D1384" s="11" t="s">
        <v>539</v>
      </c>
      <c r="E1384" s="12" t="s">
        <v>93</v>
      </c>
      <c r="F1384" s="12" t="s">
        <v>713</v>
      </c>
      <c r="G1384" s="11" t="s">
        <v>149</v>
      </c>
      <c r="H1384" s="18" t="str">
        <f>IFERROR(INDEX('المحافظات Governorates'!$E$2:$E$151,MATCH(D1384,'المحافظات Governorates'!$A$2:$A$151,0)),"")</f>
        <v>Sakaka</v>
      </c>
      <c r="I1384" s="18" t="str">
        <f>IFERROR(INDEX('المناطق Regions'!$C$2:$C$15,MATCH(B1384,'المناطق Regions'!$A$2:$A$15,0)),"")</f>
        <v>Al-Jouf</v>
      </c>
      <c r="J1384" s="18" t="str">
        <f>F1384&amp;", "&amp;E1384&amp;", Saudi Arabia"</f>
        <v>مغيراء, سكاكا, Saudi Arabia</v>
      </c>
      <c r="K1384" s="18">
        <v>29.857578</v>
      </c>
      <c r="L1384" s="18">
        <v>40.416573</v>
      </c>
      <c r="M1384" s="18">
        <v>2000</v>
      </c>
      <c r="N1384" s="18" t="s">
        <v>562</v>
      </c>
    </row>
    <row r="1385" ht="15" customHeight="1" spans="1:14" x14ac:dyDescent="0.25">
      <c r="A1385" s="13" t="s">
        <v>3324</v>
      </c>
      <c r="B1385" s="13">
        <v>13</v>
      </c>
      <c r="C1385" s="14" t="s">
        <v>90</v>
      </c>
      <c r="D1385" s="13" t="s">
        <v>539</v>
      </c>
      <c r="E1385" s="14" t="s">
        <v>93</v>
      </c>
      <c r="F1385" s="14" t="s">
        <v>1548</v>
      </c>
      <c r="G1385" s="13" t="s">
        <v>149</v>
      </c>
      <c r="H1385" s="18" t="str">
        <f>IFERROR(INDEX('المحافظات Governorates'!$E$2:$E$151,MATCH(D1385,'المحافظات Governorates'!$A$2:$A$151,0)),"")</f>
        <v>Sakaka</v>
      </c>
      <c r="I1385" s="18" t="str">
        <f>IFERROR(INDEX('المناطق Regions'!$C$2:$C$15,MATCH(B1385,'المناطق Regions'!$A$2:$A$15,0)),"")</f>
        <v>Al-Jouf</v>
      </c>
      <c r="J1385" s="18" t="str">
        <f>F1385&amp;", "&amp;E1385&amp;", Saudi Arabia"</f>
        <v>الحرة, سكاكا, Saudi Arabia</v>
      </c>
      <c r="K1385" s="18">
        <v>30.070317</v>
      </c>
      <c r="L1385" s="18">
        <v>40.718794</v>
      </c>
      <c r="M1385" s="18">
        <v>166046</v>
      </c>
      <c r="N1385" s="18" t="s">
        <v>3316</v>
      </c>
    </row>
    <row r="1386" ht="15" customHeight="1" spans="1:14" x14ac:dyDescent="0.25">
      <c r="A1386" s="11" t="s">
        <v>3325</v>
      </c>
      <c r="B1386" s="11">
        <v>13</v>
      </c>
      <c r="C1386" s="12" t="s">
        <v>90</v>
      </c>
      <c r="D1386" s="11" t="s">
        <v>539</v>
      </c>
      <c r="E1386" s="12" t="s">
        <v>93</v>
      </c>
      <c r="F1386" s="12" t="s">
        <v>3326</v>
      </c>
      <c r="G1386" s="11" t="s">
        <v>149</v>
      </c>
      <c r="H1386" s="18" t="str">
        <f>IFERROR(INDEX('المحافظات Governorates'!$E$2:$E$151,MATCH(D1386,'المحافظات Governorates'!$A$2:$A$151,0)),"")</f>
        <v>Sakaka</v>
      </c>
      <c r="I1386" s="18" t="str">
        <f>IFERROR(INDEX('المناطق Regions'!$C$2:$C$15,MATCH(B1386,'المناطق Regions'!$A$2:$A$15,0)),"")</f>
        <v>Al-Jouf</v>
      </c>
      <c r="J1386" s="18" t="str">
        <f>F1386&amp;", "&amp;E1386&amp;", Saudi Arabia"</f>
        <v>غديرالخيل, سكاكا, Saudi Arabia</v>
      </c>
      <c r="K1386" s="18">
        <v>30.070317</v>
      </c>
      <c r="L1386" s="18">
        <v>40.718794</v>
      </c>
      <c r="M1386" s="18">
        <v>166046</v>
      </c>
      <c r="N1386" s="18" t="s">
        <v>3316</v>
      </c>
    </row>
    <row r="1387" ht="15" customHeight="1" spans="1:14" x14ac:dyDescent="0.25">
      <c r="A1387" s="13" t="s">
        <v>3327</v>
      </c>
      <c r="B1387" s="13">
        <v>13</v>
      </c>
      <c r="C1387" s="14" t="s">
        <v>90</v>
      </c>
      <c r="D1387" s="13" t="s">
        <v>540</v>
      </c>
      <c r="E1387" s="14" t="s">
        <v>541</v>
      </c>
      <c r="F1387" s="14" t="s">
        <v>3328</v>
      </c>
      <c r="G1387" s="13" t="s">
        <v>113</v>
      </c>
      <c r="H1387" s="18" t="str">
        <f>IFERROR(INDEX('المحافظات Governorates'!$E$2:$E$151,MATCH(D1387,'المحافظات Governorates'!$A$2:$A$151,0)),"")</f>
        <v>Al-Qurayyat</v>
      </c>
      <c r="I1387" s="18" t="str">
        <f>IFERROR(INDEX('المناطق Regions'!$C$2:$C$15,MATCH(B1387,'المناطق Regions'!$A$2:$A$15,0)),"")</f>
        <v>Al-Jouf</v>
      </c>
      <c r="J1387" s="18" t="str">
        <f>F1387&amp;", "&amp;E1387&amp;", Saudi Arabia"</f>
        <v>الحديثة, القريات, Saudi Arabia</v>
      </c>
      <c r="K1387" s="18">
        <v>31.454449</v>
      </c>
      <c r="L1387" s="18">
        <v>37.158921</v>
      </c>
      <c r="M1387" s="18">
        <v>2000</v>
      </c>
      <c r="N1387" s="18" t="s">
        <v>562</v>
      </c>
    </row>
    <row r="1388" ht="15" customHeight="1" spans="1:14" x14ac:dyDescent="0.25">
      <c r="A1388" s="11" t="s">
        <v>3329</v>
      </c>
      <c r="B1388" s="11">
        <v>13</v>
      </c>
      <c r="C1388" s="12" t="s">
        <v>90</v>
      </c>
      <c r="D1388" s="11" t="s">
        <v>540</v>
      </c>
      <c r="E1388" s="12" t="s">
        <v>541</v>
      </c>
      <c r="F1388" s="12" t="s">
        <v>3330</v>
      </c>
      <c r="G1388" s="11" t="s">
        <v>113</v>
      </c>
      <c r="H1388" s="18" t="str">
        <f>IFERROR(INDEX('المحافظات Governorates'!$E$2:$E$151,MATCH(D1388,'المحافظات Governorates'!$A$2:$A$151,0)),"")</f>
        <v>Al-Qurayyat</v>
      </c>
      <c r="I1388" s="18" t="str">
        <f>IFERROR(INDEX('المناطق Regions'!$C$2:$C$15,MATCH(B1388,'المناطق Regions'!$A$2:$A$15,0)),"")</f>
        <v>Al-Jouf</v>
      </c>
      <c r="J1388" s="18" t="str">
        <f>F1388&amp;", "&amp;E1388&amp;", Saudi Arabia"</f>
        <v>العيساويه, القريات, Saudi Arabia</v>
      </c>
      <c r="K1388" s="18">
        <v>30.716111</v>
      </c>
      <c r="L1388" s="18">
        <v>37.980278</v>
      </c>
      <c r="M1388" s="18">
        <v>2000</v>
      </c>
      <c r="N1388" s="18" t="s">
        <v>562</v>
      </c>
    </row>
    <row r="1389" ht="15" customHeight="1" spans="1:14" x14ac:dyDescent="0.25">
      <c r="A1389" s="13" t="s">
        <v>3331</v>
      </c>
      <c r="B1389" s="13">
        <v>13</v>
      </c>
      <c r="C1389" s="14" t="s">
        <v>90</v>
      </c>
      <c r="D1389" s="13" t="s">
        <v>540</v>
      </c>
      <c r="E1389" s="14" t="s">
        <v>541</v>
      </c>
      <c r="F1389" s="14" t="s">
        <v>3332</v>
      </c>
      <c r="G1389" s="13" t="s">
        <v>113</v>
      </c>
      <c r="H1389" s="18" t="str">
        <f>IFERROR(INDEX('المحافظات Governorates'!$E$2:$E$151,MATCH(D1389,'المحافظات Governorates'!$A$2:$A$151,0)),"")</f>
        <v>Al-Qurayyat</v>
      </c>
      <c r="I1389" s="18" t="str">
        <f>IFERROR(INDEX('المناطق Regions'!$C$2:$C$15,MATCH(B1389,'المناطق Regions'!$A$2:$A$15,0)),"")</f>
        <v>Al-Jouf</v>
      </c>
      <c r="J1389" s="18" t="str">
        <f>F1389&amp;", "&amp;E1389&amp;", Saudi Arabia"</f>
        <v>عين الحواس, القريات, Saudi Arabia</v>
      </c>
      <c r="K1389" s="18">
        <v>31.115402</v>
      </c>
      <c r="L1389" s="18">
        <v>37.776053</v>
      </c>
      <c r="M1389" s="18">
        <v>121898</v>
      </c>
      <c r="N1389" s="18" t="s">
        <v>3333</v>
      </c>
    </row>
    <row r="1390" ht="15" customHeight="1" spans="1:14" x14ac:dyDescent="0.25">
      <c r="A1390" s="11" t="s">
        <v>3334</v>
      </c>
      <c r="B1390" s="11">
        <v>13</v>
      </c>
      <c r="C1390" s="12" t="s">
        <v>90</v>
      </c>
      <c r="D1390" s="11" t="s">
        <v>540</v>
      </c>
      <c r="E1390" s="12" t="s">
        <v>541</v>
      </c>
      <c r="F1390" s="12" t="s">
        <v>608</v>
      </c>
      <c r="G1390" s="11" t="s">
        <v>113</v>
      </c>
      <c r="H1390" s="18" t="str">
        <f>IFERROR(INDEX('المحافظات Governorates'!$E$2:$E$151,MATCH(D1390,'المحافظات Governorates'!$A$2:$A$151,0)),"")</f>
        <v>Al-Qurayyat</v>
      </c>
      <c r="I1390" s="18" t="str">
        <f>IFERROR(INDEX('المناطق Regions'!$C$2:$C$15,MATCH(B1390,'المناطق Regions'!$A$2:$A$15,0)),"")</f>
        <v>Al-Jouf</v>
      </c>
      <c r="J1390" s="18" t="str">
        <f>F1390&amp;", "&amp;E1390&amp;", Saudi Arabia"</f>
        <v>الناصفه, القريات, Saudi Arabia</v>
      </c>
      <c r="K1390" s="18">
        <v>31.078996</v>
      </c>
      <c r="L1390" s="18">
        <v>37.625122</v>
      </c>
      <c r="M1390" s="18">
        <v>2000</v>
      </c>
      <c r="N1390" s="18" t="s">
        <v>562</v>
      </c>
    </row>
    <row r="1391" ht="15" customHeight="1" spans="1:14" x14ac:dyDescent="0.25">
      <c r="A1391" s="13" t="s">
        <v>3335</v>
      </c>
      <c r="B1391" s="13">
        <v>13</v>
      </c>
      <c r="C1391" s="14" t="s">
        <v>90</v>
      </c>
      <c r="D1391" s="13" t="s">
        <v>540</v>
      </c>
      <c r="E1391" s="14" t="s">
        <v>541</v>
      </c>
      <c r="F1391" s="14" t="s">
        <v>3336</v>
      </c>
      <c r="G1391" s="13" t="s">
        <v>149</v>
      </c>
      <c r="H1391" s="18" t="str">
        <f>IFERROR(INDEX('المحافظات Governorates'!$E$2:$E$151,MATCH(D1391,'المحافظات Governorates'!$A$2:$A$151,0)),"")</f>
        <v>Al-Qurayyat</v>
      </c>
      <c r="I1391" s="18" t="str">
        <f>IFERROR(INDEX('المناطق Regions'!$C$2:$C$15,MATCH(B1391,'المناطق Regions'!$A$2:$A$15,0)),"")</f>
        <v>Al-Jouf</v>
      </c>
      <c r="J1391" s="18" t="str">
        <f>F1391&amp;", "&amp;E1391&amp;", Saudi Arabia"</f>
        <v>الحماد, القريات, Saudi Arabia</v>
      </c>
      <c r="K1391" s="18">
        <v>31.424897</v>
      </c>
      <c r="L1391" s="18">
        <v>37.985777</v>
      </c>
      <c r="M1391" s="18">
        <v>2000</v>
      </c>
      <c r="N1391" s="18" t="s">
        <v>562</v>
      </c>
    </row>
    <row r="1392" ht="15" customHeight="1" spans="1:14" x14ac:dyDescent="0.25">
      <c r="A1392" s="11" t="s">
        <v>3337</v>
      </c>
      <c r="B1392" s="11">
        <v>13</v>
      </c>
      <c r="C1392" s="12" t="s">
        <v>90</v>
      </c>
      <c r="D1392" s="11" t="s">
        <v>540</v>
      </c>
      <c r="E1392" s="12" t="s">
        <v>541</v>
      </c>
      <c r="F1392" s="12" t="s">
        <v>3338</v>
      </c>
      <c r="G1392" s="11" t="s">
        <v>113</v>
      </c>
      <c r="H1392" s="18" t="str">
        <f>IFERROR(INDEX('المحافظات Governorates'!$E$2:$E$151,MATCH(D1392,'المحافظات Governorates'!$A$2:$A$151,0)),"")</f>
        <v>Al-Qurayyat</v>
      </c>
      <c r="I1392" s="18" t="str">
        <f>IFERROR(INDEX('المناطق Regions'!$C$2:$C$15,MATCH(B1392,'المناطق Regions'!$A$2:$A$15,0)),"")</f>
        <v>Al-Jouf</v>
      </c>
      <c r="J1392" s="18" t="str">
        <f>F1392&amp;", "&amp;E1392&amp;", Saudi Arabia"</f>
        <v>الوادى, القريات, Saudi Arabia</v>
      </c>
      <c r="K1392" s="18">
        <v>31.115402</v>
      </c>
      <c r="L1392" s="18">
        <v>37.776053</v>
      </c>
      <c r="M1392" s="18">
        <v>121898</v>
      </c>
      <c r="N1392" s="18" t="s">
        <v>3333</v>
      </c>
    </row>
    <row r="1393" ht="15" customHeight="1" spans="1:14" x14ac:dyDescent="0.25">
      <c r="A1393" s="13" t="s">
        <v>3339</v>
      </c>
      <c r="B1393" s="13">
        <v>13</v>
      </c>
      <c r="C1393" s="14" t="s">
        <v>90</v>
      </c>
      <c r="D1393" s="13" t="s">
        <v>540</v>
      </c>
      <c r="E1393" s="14" t="s">
        <v>541</v>
      </c>
      <c r="F1393" s="14" t="s">
        <v>3340</v>
      </c>
      <c r="G1393" s="13" t="s">
        <v>149</v>
      </c>
      <c r="H1393" s="18" t="str">
        <f>IFERROR(INDEX('المحافظات Governorates'!$E$2:$E$151,MATCH(D1393,'المحافظات Governorates'!$A$2:$A$151,0)),"")</f>
        <v>Al-Qurayyat</v>
      </c>
      <c r="I1393" s="18" t="str">
        <f>IFERROR(INDEX('المناطق Regions'!$C$2:$C$15,MATCH(B1393,'المناطق Regions'!$A$2:$A$15,0)),"")</f>
        <v>Al-Jouf</v>
      </c>
      <c r="J1393" s="18" t="str">
        <f>F1393&amp;", "&amp;E1393&amp;", Saudi Arabia"</f>
        <v>قليب خضر, القريات, Saudi Arabia</v>
      </c>
      <c r="K1393" s="18">
        <v>30.833727</v>
      </c>
      <c r="L1393" s="18">
        <v>37.866833</v>
      </c>
      <c r="M1393" s="18">
        <v>2000</v>
      </c>
      <c r="N1393" s="18" t="s">
        <v>562</v>
      </c>
    </row>
    <row r="1394" ht="15" customHeight="1" spans="1:14" x14ac:dyDescent="0.25">
      <c r="A1394" s="11" t="s">
        <v>3341</v>
      </c>
      <c r="B1394" s="11">
        <v>13</v>
      </c>
      <c r="C1394" s="12" t="s">
        <v>90</v>
      </c>
      <c r="D1394" s="11" t="s">
        <v>540</v>
      </c>
      <c r="E1394" s="12" t="s">
        <v>541</v>
      </c>
      <c r="F1394" s="12" t="s">
        <v>3342</v>
      </c>
      <c r="G1394" s="11" t="s">
        <v>149</v>
      </c>
      <c r="H1394" s="18" t="str">
        <f>IFERROR(INDEX('المحافظات Governorates'!$E$2:$E$151,MATCH(D1394,'المحافظات Governorates'!$A$2:$A$151,0)),"")</f>
        <v>Al-Qurayyat</v>
      </c>
      <c r="I1394" s="18" t="str">
        <f>IFERROR(INDEX('المناطق Regions'!$C$2:$C$15,MATCH(B1394,'المناطق Regions'!$A$2:$A$15,0)),"")</f>
        <v>Al-Jouf</v>
      </c>
      <c r="J1394" s="18" t="str">
        <f>F1394&amp;", "&amp;E1394&amp;", Saudi Arabia"</f>
        <v>رديفة الجماجم, القريات, Saudi Arabia</v>
      </c>
      <c r="K1394" s="18">
        <v>31.115402</v>
      </c>
      <c r="L1394" s="18">
        <v>37.776053</v>
      </c>
      <c r="M1394" s="18">
        <v>121898</v>
      </c>
      <c r="N1394" s="18" t="s">
        <v>3333</v>
      </c>
    </row>
    <row r="1395" ht="15" customHeight="1" spans="1:14" x14ac:dyDescent="0.25">
      <c r="A1395" s="13" t="s">
        <v>3343</v>
      </c>
      <c r="B1395" s="13">
        <v>13</v>
      </c>
      <c r="C1395" s="14" t="s">
        <v>90</v>
      </c>
      <c r="D1395" s="13" t="s">
        <v>543</v>
      </c>
      <c r="E1395" s="14" t="s">
        <v>544</v>
      </c>
      <c r="F1395" s="14" t="s">
        <v>3344</v>
      </c>
      <c r="G1395" s="13" t="s">
        <v>113</v>
      </c>
      <c r="H1395" s="18" t="str">
        <f>IFERROR(INDEX('المحافظات Governorates'!$E$2:$E$151,MATCH(D1395,'المحافظات Governorates'!$A$2:$A$151,0)),"")</f>
        <v>Dumat Al-Jandal</v>
      </c>
      <c r="I1395" s="18" t="str">
        <f>IFERROR(INDEX('المناطق Regions'!$C$2:$C$15,MATCH(B1395,'المناطق Regions'!$A$2:$A$15,0)),"")</f>
        <v>Al-Jouf</v>
      </c>
      <c r="J1395" s="18" t="str">
        <f>F1395&amp;", "&amp;E1395&amp;", Saudi Arabia"</f>
        <v>ابو عجرم, دومة الجندل, Saudi Arabia</v>
      </c>
      <c r="K1395" s="18">
        <v>29.889869</v>
      </c>
      <c r="L1395" s="18">
        <v>39.305832</v>
      </c>
      <c r="M1395" s="18">
        <v>2000</v>
      </c>
      <c r="N1395" s="18" t="s">
        <v>642</v>
      </c>
    </row>
    <row r="1396" ht="15" customHeight="1" spans="1:14" x14ac:dyDescent="0.25">
      <c r="A1396" s="11" t="s">
        <v>3345</v>
      </c>
      <c r="B1396" s="11">
        <v>13</v>
      </c>
      <c r="C1396" s="12" t="s">
        <v>90</v>
      </c>
      <c r="D1396" s="11" t="s">
        <v>543</v>
      </c>
      <c r="E1396" s="12" t="s">
        <v>544</v>
      </c>
      <c r="F1396" s="12" t="s">
        <v>3346</v>
      </c>
      <c r="G1396" s="11" t="s">
        <v>113</v>
      </c>
      <c r="H1396" s="18" t="str">
        <f>IFERROR(INDEX('المحافظات Governorates'!$E$2:$E$151,MATCH(D1396,'المحافظات Governorates'!$A$2:$A$151,0)),"")</f>
        <v>Dumat Al-Jandal</v>
      </c>
      <c r="I1396" s="18" t="str">
        <f>IFERROR(INDEX('المناطق Regions'!$C$2:$C$15,MATCH(B1396,'المناطق Regions'!$A$2:$A$15,0)),"")</f>
        <v>Al-Jouf</v>
      </c>
      <c r="J1396" s="18" t="str">
        <f>F1396&amp;", "&amp;E1396&amp;", Saudi Arabia"</f>
        <v>الآضارع, دومة الجندل, Saudi Arabia</v>
      </c>
      <c r="K1396" s="18">
        <v>29.878889</v>
      </c>
      <c r="L1396" s="18">
        <v>39.463333</v>
      </c>
      <c r="M1396" s="18">
        <v>2000</v>
      </c>
      <c r="N1396" s="18" t="s">
        <v>642</v>
      </c>
    </row>
    <row r="1397" ht="15" customHeight="1" spans="1:14" x14ac:dyDescent="0.25">
      <c r="A1397" s="13" t="s">
        <v>3347</v>
      </c>
      <c r="B1397" s="13">
        <v>13</v>
      </c>
      <c r="C1397" s="14" t="s">
        <v>90</v>
      </c>
      <c r="D1397" s="13" t="s">
        <v>543</v>
      </c>
      <c r="E1397" s="14" t="s">
        <v>544</v>
      </c>
      <c r="F1397" s="14" t="s">
        <v>3348</v>
      </c>
      <c r="G1397" s="13" t="s">
        <v>149</v>
      </c>
      <c r="H1397" s="18" t="str">
        <f>IFERROR(INDEX('المحافظات Governorates'!$E$2:$E$151,MATCH(D1397,'المحافظات Governorates'!$A$2:$A$151,0)),"")</f>
        <v>Dumat Al-Jandal</v>
      </c>
      <c r="I1397" s="18" t="str">
        <f>IFERROR(INDEX('المناطق Regions'!$C$2:$C$15,MATCH(B1397,'المناطق Regions'!$A$2:$A$15,0)),"")</f>
        <v>Al-Jouf</v>
      </c>
      <c r="J1397" s="18" t="str">
        <f>F1397&amp;", "&amp;E1397&amp;", Saudi Arabia"</f>
        <v>أصفان, دومة الجندل, Saudi Arabia</v>
      </c>
      <c r="K1397" s="18">
        <v>29.667363</v>
      </c>
      <c r="L1397" s="18">
        <v>39.670529</v>
      </c>
      <c r="M1397" s="18">
        <v>2000</v>
      </c>
      <c r="N1397" s="18" t="s">
        <v>642</v>
      </c>
    </row>
    <row r="1398" ht="15" customHeight="1" spans="1:14" x14ac:dyDescent="0.25">
      <c r="A1398" s="11" t="s">
        <v>3349</v>
      </c>
      <c r="B1398" s="11">
        <v>13</v>
      </c>
      <c r="C1398" s="12" t="s">
        <v>90</v>
      </c>
      <c r="D1398" s="11" t="s">
        <v>543</v>
      </c>
      <c r="E1398" s="12" t="s">
        <v>544</v>
      </c>
      <c r="F1398" s="12" t="s">
        <v>2888</v>
      </c>
      <c r="G1398" s="11" t="s">
        <v>113</v>
      </c>
      <c r="H1398" s="18" t="str">
        <f>IFERROR(INDEX('المحافظات Governorates'!$E$2:$E$151,MATCH(D1398,'المحافظات Governorates'!$A$2:$A$151,0)),"")</f>
        <v>Dumat Al-Jandal</v>
      </c>
      <c r="I1398" s="18" t="str">
        <f>IFERROR(INDEX('المناطق Regions'!$C$2:$C$15,MATCH(B1398,'المناطق Regions'!$A$2:$A$15,0)),"")</f>
        <v>Al-Jouf</v>
      </c>
      <c r="J1398" s="18" t="str">
        <f>F1398&amp;", "&amp;E1398&amp;", Saudi Arabia"</f>
        <v>الشقيق, دومة الجندل, Saudi Arabia</v>
      </c>
      <c r="K1398" s="18">
        <v>29.300904</v>
      </c>
      <c r="L1398" s="18">
        <v>39.92173</v>
      </c>
      <c r="M1398" s="18">
        <v>2000</v>
      </c>
      <c r="N1398" s="18" t="s">
        <v>642</v>
      </c>
    </row>
    <row r="1399" ht="15" customHeight="1" spans="1:14" x14ac:dyDescent="0.25">
      <c r="A1399" s="13" t="s">
        <v>3350</v>
      </c>
      <c r="B1399" s="13">
        <v>13</v>
      </c>
      <c r="C1399" s="14" t="s">
        <v>90</v>
      </c>
      <c r="D1399" s="13" t="s">
        <v>543</v>
      </c>
      <c r="E1399" s="14" t="s">
        <v>544</v>
      </c>
      <c r="F1399" s="14" t="s">
        <v>3351</v>
      </c>
      <c r="G1399" s="13" t="s">
        <v>113</v>
      </c>
      <c r="H1399" s="18" t="str">
        <f>IFERROR(INDEX('المحافظات Governorates'!$E$2:$E$151,MATCH(D1399,'المحافظات Governorates'!$A$2:$A$151,0)),"")</f>
        <v>Dumat Al-Jandal</v>
      </c>
      <c r="I1399" s="18" t="str">
        <f>IFERROR(INDEX('المناطق Regions'!$C$2:$C$15,MATCH(B1399,'المناطق Regions'!$A$2:$A$15,0)),"")</f>
        <v>Al-Jouf</v>
      </c>
      <c r="J1399" s="18" t="str">
        <f>F1399&amp;", "&amp;E1399&amp;", Saudi Arabia"</f>
        <v>الرديفه, دومة الجندل, Saudi Arabia</v>
      </c>
      <c r="K1399" s="18">
        <v>29.477319</v>
      </c>
      <c r="L1399" s="18">
        <v>39.655676</v>
      </c>
      <c r="M1399" s="18">
        <v>40000</v>
      </c>
      <c r="N1399" s="18" t="s">
        <v>1130</v>
      </c>
    </row>
    <row r="1400" ht="15" customHeight="1" spans="1:14" x14ac:dyDescent="0.25">
      <c r="A1400" s="11" t="s">
        <v>3352</v>
      </c>
      <c r="B1400" s="11">
        <v>13</v>
      </c>
      <c r="C1400" s="12" t="s">
        <v>90</v>
      </c>
      <c r="D1400" s="11" t="s">
        <v>546</v>
      </c>
      <c r="E1400" s="12" t="s">
        <v>547</v>
      </c>
      <c r="F1400" s="12" t="s">
        <v>3353</v>
      </c>
      <c r="G1400" s="11" t="s">
        <v>113</v>
      </c>
      <c r="H1400" s="18" t="str">
        <f>IFERROR(INDEX('المحافظات Governorates'!$E$2:$E$151,MATCH(D1400,'المحافظات Governorates'!$A$2:$A$151,0)),"")</f>
        <v>Tabarjal</v>
      </c>
      <c r="I1400" s="18" t="str">
        <f>IFERROR(INDEX('المناطق Regions'!$C$2:$C$15,MATCH(B1400,'المناطق Regions'!$A$2:$A$15,0)),"")</f>
        <v>Al-Jouf</v>
      </c>
      <c r="J1400" s="18" t="str">
        <f>F1400&amp;", "&amp;E1400&amp;", Saudi Arabia"</f>
        <v>النبك ابوقصر, طبرجل, Saudi Arabia</v>
      </c>
      <c r="K1400" s="18">
        <v>30.294167</v>
      </c>
      <c r="L1400" s="18">
        <v>38.701389</v>
      </c>
      <c r="M1400" s="18">
        <v>2000</v>
      </c>
      <c r="N1400" s="18" t="s">
        <v>562</v>
      </c>
    </row>
    <row r="1401" ht="15" customHeight="1" spans="1:14" x14ac:dyDescent="0.25">
      <c r="A1401" s="13" t="s">
        <v>3354</v>
      </c>
      <c r="B1401" s="13">
        <v>13</v>
      </c>
      <c r="C1401" s="14" t="s">
        <v>90</v>
      </c>
      <c r="D1401" s="13" t="s">
        <v>546</v>
      </c>
      <c r="E1401" s="14" t="s">
        <v>547</v>
      </c>
      <c r="F1401" s="14" t="s">
        <v>3355</v>
      </c>
      <c r="G1401" s="13" t="s">
        <v>113</v>
      </c>
      <c r="H1401" s="18" t="str">
        <f>IFERROR(INDEX('المحافظات Governorates'!$E$2:$E$151,MATCH(D1401,'المحافظات Governorates'!$A$2:$A$151,0)),"")</f>
        <v>Tabarjal</v>
      </c>
      <c r="I1401" s="18" t="str">
        <f>IFERROR(INDEX('المناطق Regions'!$C$2:$C$15,MATCH(B1401,'المناطق Regions'!$A$2:$A$15,0)),"")</f>
        <v>Al-Jouf</v>
      </c>
      <c r="J1401" s="18" t="str">
        <f>F1401&amp;", "&amp;E1401&amp;", Saudi Arabia"</f>
        <v>بسيطاء, طبرجل, Saudi Arabia</v>
      </c>
      <c r="K1401" s="18">
        <v>29.711305</v>
      </c>
      <c r="L1401" s="18">
        <v>38.375857</v>
      </c>
      <c r="M1401" s="18">
        <v>2000</v>
      </c>
      <c r="N1401" s="18" t="s">
        <v>562</v>
      </c>
    </row>
    <row r="1402" ht="15" customHeight="1" spans="1:14" x14ac:dyDescent="0.25">
      <c r="A1402" s="11" t="s">
        <v>3356</v>
      </c>
      <c r="B1402" s="11">
        <v>13</v>
      </c>
      <c r="C1402" s="12" t="s">
        <v>90</v>
      </c>
      <c r="D1402" s="11" t="s">
        <v>546</v>
      </c>
      <c r="E1402" s="12" t="s">
        <v>547</v>
      </c>
      <c r="F1402" s="12" t="s">
        <v>3357</v>
      </c>
      <c r="G1402" s="11" t="s">
        <v>149</v>
      </c>
      <c r="H1402" s="18" t="str">
        <f>IFERROR(INDEX('المحافظات Governorates'!$E$2:$E$151,MATCH(D1402,'المحافظات Governorates'!$A$2:$A$151,0)),"")</f>
        <v>Tabarjal</v>
      </c>
      <c r="I1402" s="18" t="str">
        <f>IFERROR(INDEX('المناطق Regions'!$C$2:$C$15,MATCH(B1402,'المناطق Regions'!$A$2:$A$15,0)),"")</f>
        <v>Al-Jouf</v>
      </c>
      <c r="J1402" s="18" t="str">
        <f>F1402&amp;", "&amp;E1402&amp;", Saudi Arabia"</f>
        <v>الثنية, طبرجل, Saudi Arabia</v>
      </c>
      <c r="K1402" s="18">
        <v>30.039034</v>
      </c>
      <c r="L1402" s="18">
        <v>38.453866</v>
      </c>
      <c r="M1402" s="18">
        <v>137337</v>
      </c>
      <c r="N1402" s="18" t="s">
        <v>3358</v>
      </c>
    </row>
    <row r="1403" ht="15" customHeight="1" spans="1:14" x14ac:dyDescent="0.25">
      <c r="A1403" s="13" t="s">
        <v>3359</v>
      </c>
      <c r="B1403" s="13">
        <v>13</v>
      </c>
      <c r="C1403" s="14" t="s">
        <v>90</v>
      </c>
      <c r="D1403" s="13" t="s">
        <v>546</v>
      </c>
      <c r="E1403" s="14" t="s">
        <v>547</v>
      </c>
      <c r="F1403" s="14" t="s">
        <v>3360</v>
      </c>
      <c r="G1403" s="13" t="s">
        <v>149</v>
      </c>
      <c r="H1403" s="18" t="str">
        <f>IFERROR(INDEX('المحافظات Governorates'!$E$2:$E$151,MATCH(D1403,'المحافظات Governorates'!$A$2:$A$151,0)),"")</f>
        <v>Tabarjal</v>
      </c>
      <c r="I1403" s="18" t="str">
        <f>IFERROR(INDEX('المناطق Regions'!$C$2:$C$15,MATCH(B1403,'المناطق Regions'!$A$2:$A$15,0)),"")</f>
        <v>Al-Jouf</v>
      </c>
      <c r="J1403" s="18" t="str">
        <f>F1403&amp;", "&amp;E1403&amp;", Saudi Arabia"</f>
        <v>صبيحا, طبرجل, Saudi Arabia</v>
      </c>
      <c r="K1403" s="18">
        <v>30.039034</v>
      </c>
      <c r="L1403" s="18">
        <v>38.453866</v>
      </c>
      <c r="M1403" s="18">
        <v>137337</v>
      </c>
      <c r="N1403" s="18" t="s">
        <v>3358</v>
      </c>
    </row>
    <row r="1404" ht="15" customHeight="1" spans="1:14" x14ac:dyDescent="0.25">
      <c r="A1404" s="11" t="s">
        <v>3361</v>
      </c>
      <c r="B1404" s="11">
        <v>13</v>
      </c>
      <c r="C1404" s="12" t="s">
        <v>90</v>
      </c>
      <c r="D1404" s="11" t="s">
        <v>546</v>
      </c>
      <c r="E1404" s="12" t="s">
        <v>547</v>
      </c>
      <c r="F1404" s="12" t="s">
        <v>3362</v>
      </c>
      <c r="G1404" s="11" t="s">
        <v>113</v>
      </c>
      <c r="H1404" s="18" t="str">
        <f>IFERROR(INDEX('المحافظات Governorates'!$E$2:$E$151,MATCH(D1404,'المحافظات Governorates'!$A$2:$A$151,0)),"")</f>
        <v>Tabarjal</v>
      </c>
      <c r="I1404" s="18" t="str">
        <f>IFERROR(INDEX('المناطق Regions'!$C$2:$C$15,MATCH(B1404,'المناطق Regions'!$A$2:$A$15,0)),"")</f>
        <v>Al-Jouf</v>
      </c>
      <c r="J1404" s="18" t="str">
        <f>F1404&amp;", "&amp;E1404&amp;", Saudi Arabia"</f>
        <v>ميقوع, طبرجل, Saudi Arabia</v>
      </c>
      <c r="K1404" s="18">
        <v>29.820996</v>
      </c>
      <c r="L1404" s="18">
        <v>38.923409</v>
      </c>
      <c r="M1404" s="18">
        <v>2000</v>
      </c>
      <c r="N1404" s="18" t="s">
        <v>642</v>
      </c>
    </row>
    <row r="1405" ht="15" customHeight="1" spans="1:14" x14ac:dyDescent="0.25">
      <c r="A1405" s="13" t="s">
        <v>3363</v>
      </c>
      <c r="B1405" s="13">
        <v>13</v>
      </c>
      <c r="C1405" s="14" t="s">
        <v>90</v>
      </c>
      <c r="D1405" s="13" t="s">
        <v>546</v>
      </c>
      <c r="E1405" s="14" t="s">
        <v>547</v>
      </c>
      <c r="F1405" s="14" t="s">
        <v>3364</v>
      </c>
      <c r="G1405" s="13" t="s">
        <v>149</v>
      </c>
      <c r="H1405" s="18" t="str">
        <f>IFERROR(INDEX('المحافظات Governorates'!$E$2:$E$151,MATCH(D1405,'المحافظات Governorates'!$A$2:$A$151,0)),"")</f>
        <v>Tabarjal</v>
      </c>
      <c r="I1405" s="18" t="str">
        <f>IFERROR(INDEX('المناطق Regions'!$C$2:$C$15,MATCH(B1405,'المناطق Regions'!$A$2:$A$15,0)),"")</f>
        <v>Al-Jouf</v>
      </c>
      <c r="J1405" s="18" t="str">
        <f>F1405&amp;", "&amp;E1405&amp;", Saudi Arabia"</f>
        <v>ثنيه ام نخيله, طبرجل, Saudi Arabia</v>
      </c>
      <c r="K1405" s="18">
        <v>30.039034</v>
      </c>
      <c r="L1405" s="18">
        <v>38.453866</v>
      </c>
      <c r="M1405" s="18">
        <v>137337</v>
      </c>
      <c r="N1405" s="18" t="s">
        <v>3358</v>
      </c>
    </row>
  </sheetData>
  <autoFilter ref="A1:G1405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rightToLeft="1" zoomScale="100" zoomScaleNormal="100">
      <pane ySplit="1" topLeftCell="A9" activePane="bottomLeft" state="frozen"/>
      <selection pane="bottomLeft"/>
    </sheetView>
  </sheetViews>
  <sheetFormatPr defaultRowHeight="15" outlineLevelRow="0" outlineLevelCol="0" x14ac:dyDescent="0" defaultColWidth="8.7109375"/>
  <cols>
    <col min="1" max="1" width="5" customWidth="1"/>
    <col min="2" max="2" width="46" customWidth="1"/>
    <col min="3" max="3" width="62" customWidth="1"/>
    <col min="4" max="4" width="46" customWidth="1"/>
  </cols>
  <sheetData>
    <row r="1" ht="30" customHeight="1" spans="1:4" x14ac:dyDescent="0.25">
      <c r="A1" s="10" t="s">
        <v>3365</v>
      </c>
      <c r="B1" s="10" t="s">
        <v>105</v>
      </c>
      <c r="C1" s="10" t="s">
        <v>3366</v>
      </c>
      <c r="D1" s="10" t="s">
        <v>3367</v>
      </c>
    </row>
    <row r="2" ht="39.75" customHeight="1" spans="1:4" x14ac:dyDescent="0.25">
      <c r="A2" s="11">
        <v>1</v>
      </c>
      <c r="B2" s="20" t="s">
        <v>3368</v>
      </c>
      <c r="C2" s="20" t="s">
        <v>3369</v>
      </c>
      <c r="D2" s="21" t="s">
        <v>3370</v>
      </c>
    </row>
    <row r="3" ht="39.75" customHeight="1" spans="1:4" x14ac:dyDescent="0.25">
      <c r="A3" s="13">
        <v>2</v>
      </c>
      <c r="B3" s="22" t="s">
        <v>3371</v>
      </c>
      <c r="C3" s="22" t="s">
        <v>3372</v>
      </c>
      <c r="D3" s="23" t="s">
        <v>3373</v>
      </c>
    </row>
    <row r="4" ht="39.75" customHeight="1" spans="1:4" x14ac:dyDescent="0.25">
      <c r="A4" s="11">
        <v>3</v>
      </c>
      <c r="B4" s="20" t="s">
        <v>3374</v>
      </c>
      <c r="C4" s="20" t="s">
        <v>3375</v>
      </c>
      <c r="D4" s="21" t="s">
        <v>3376</v>
      </c>
    </row>
    <row r="5" ht="39.75" customHeight="1" spans="1:4" x14ac:dyDescent="0.25">
      <c r="A5" s="13">
        <v>4</v>
      </c>
      <c r="B5" s="22" t="s">
        <v>3377</v>
      </c>
      <c r="C5" s="22" t="s">
        <v>3378</v>
      </c>
      <c r="D5" s="23" t="s">
        <v>3379</v>
      </c>
    </row>
    <row r="6" ht="39.75" customHeight="1" spans="1:4" x14ac:dyDescent="0.25">
      <c r="A6" s="11">
        <v>5</v>
      </c>
      <c r="B6" s="20" t="s">
        <v>3380</v>
      </c>
      <c r="C6" s="20" t="s">
        <v>3381</v>
      </c>
      <c r="D6" s="21" t="s">
        <v>3382</v>
      </c>
    </row>
    <row r="7" ht="39.75" customHeight="1" spans="1:4" x14ac:dyDescent="0.25">
      <c r="A7" s="13">
        <v>6</v>
      </c>
      <c r="B7" s="22" t="s">
        <v>3383</v>
      </c>
      <c r="C7" s="22" t="s">
        <v>3384</v>
      </c>
      <c r="D7" s="23" t="s">
        <v>3385</v>
      </c>
    </row>
    <row r="8" ht="39.75" customHeight="1" spans="1:4" x14ac:dyDescent="0.25">
      <c r="A8" s="11">
        <v>7</v>
      </c>
      <c r="B8" s="20" t="s">
        <v>3386</v>
      </c>
      <c r="C8" s="20" t="s">
        <v>3387</v>
      </c>
      <c r="D8" s="21" t="s">
        <v>3388</v>
      </c>
    </row>
    <row r="9" ht="39.75" customHeight="1" spans="1:4" x14ac:dyDescent="0.25">
      <c r="A9" s="13">
        <v>8</v>
      </c>
      <c r="B9" s="22" t="s">
        <v>3389</v>
      </c>
      <c r="C9" s="22" t="s">
        <v>3390</v>
      </c>
      <c r="D9" s="23" t="s">
        <v>3391</v>
      </c>
    </row>
    <row r="10" ht="39.75" customHeight="1" spans="1:4" x14ac:dyDescent="0.25">
      <c r="A10" s="11">
        <v>9</v>
      </c>
      <c r="B10" s="20" t="s">
        <v>3392</v>
      </c>
      <c r="C10" s="20" t="s">
        <v>3393</v>
      </c>
      <c r="D10" s="21" t="s">
        <v>3394</v>
      </c>
    </row>
    <row r="11" ht="39.75" customHeight="1" spans="1:4" x14ac:dyDescent="0.25">
      <c r="A11" s="13">
        <v>10</v>
      </c>
      <c r="B11" s="22" t="s">
        <v>3395</v>
      </c>
      <c r="C11" s="22" t="s">
        <v>3396</v>
      </c>
      <c r="D11" s="23" t="s">
        <v>3397</v>
      </c>
    </row>
    <row r="12" ht="39.75" customHeight="1" spans="1:4" x14ac:dyDescent="0.25">
      <c r="A12" s="11">
        <v>11</v>
      </c>
      <c r="B12" s="20" t="s">
        <v>3398</v>
      </c>
      <c r="C12" s="20" t="s">
        <v>3399</v>
      </c>
      <c r="D12" s="21" t="s">
        <v>3400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</hyperlink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Geocoding Guide</vt:lpstr>
      <vt:lpstr>اقرأني ReadMe</vt:lpstr>
      <vt:lpstr>المناطق Regions</vt:lpstr>
      <vt:lpstr>المحافظات Governorates</vt:lpstr>
      <vt:lpstr>المراكز Centers</vt:lpstr>
      <vt:lpstr>المراجع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Unknown</cp:lastModifiedBy>
  <cp:contentStatus/>
  <dcterms:created xsi:type="dcterms:W3CDTF">2026-07-07T19:38:48Z</dcterms:created>
  <dcterms:modified xsi:type="dcterms:W3CDTF">2026-09-08T06:50:52Z</dcterms:modified>
</cp:coreProperties>
</file>